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kills" sheetId="1" state="visible" r:id="rId3"/>
    <sheet name="Tag legend" sheetId="2" state="visible" r:id="rId4"/>
    <sheet name="Summary" sheetId="3" state="visible" r:id="rId5"/>
  </sheets>
  <definedNames>
    <definedName function="false" hidden="true" localSheetId="0" name="_xlnm._FilterDatabase" vbProcedure="false">Skills!$A$1:$S$91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<sst xmlns="http://schemas.openxmlformats.org/spreadsheetml/2006/main" count="1111" uniqueCount="289">
  <si>
    <t xml:space="preserve">ID</t>
  </si>
  <si>
    <t xml:space="preserve">Skill / SOP</t>
  </si>
  <si>
    <t xml:space="preserve">Category</t>
  </si>
  <si>
    <t xml:space="preserve">Type</t>
  </si>
  <si>
    <t xml:space="preserve">Campaign type</t>
  </si>
  <si>
    <t xml:space="preserve">Phase</t>
  </si>
  <si>
    <t xml:space="preserve">Account maturity</t>
  </si>
  <si>
    <t xml:space="preserve">Cadence</t>
  </si>
  <si>
    <t xml:space="preserve">Priority</t>
  </si>
  <si>
    <t xml:space="preserve">Use when</t>
  </si>
  <si>
    <t xml:space="preserve">Origin / source</t>
  </si>
  <si>
    <t xml:space="preserve">Status</t>
  </si>
  <si>
    <t xml:space="preserve">Owner</t>
  </si>
  <si>
    <t xml:space="preserve">Folder link</t>
  </si>
  <si>
    <t xml:space="preserve">Notes</t>
  </si>
  <si>
    <t xml:space="preserve">Last verified</t>
  </si>
  <si>
    <t xml:space="preserve">Invalidated by</t>
  </si>
  <si>
    <t xml:space="preserve">Canon strength</t>
  </si>
  <si>
    <t xml:space="preserve">Review</t>
  </si>
  <si>
    <t xml:space="preserve">Alpha/Beta campaign structure</t>
  </si>
  <si>
    <t xml:space="preserve">Account structure</t>
  </si>
  <si>
    <t xml:space="preserve">Structure</t>
  </si>
  <si>
    <t xml:space="preserve">Search</t>
  </si>
  <si>
    <t xml:space="preserve">Scale</t>
  </si>
  <si>
    <t xml:space="preserve">Established</t>
  </si>
  <si>
    <t xml:space="preserve">One-off</t>
  </si>
  <si>
    <t xml:space="preserve">P2</t>
  </si>
  <si>
    <t xml:space="preserve">Search terms report is rich but exact-match coverage is thin; want to harvest winners into exact</t>
  </si>
  <si>
    <t xml:space="preserve">Practitioner method</t>
  </si>
  <si>
    <t xml:space="preserve">Not started</t>
  </si>
  <si>
    <t xml:space="preserve">Hagakure consolidated structure</t>
  </si>
  <si>
    <t xml:space="preserve">Setup</t>
  </si>
  <si>
    <t xml:space="preserve">Any</t>
  </si>
  <si>
    <t xml:space="preserve">P1</t>
  </si>
  <si>
    <t xml:space="preserve">Moving to Smart Bidding on a fragmented account; too many thin ad groups</t>
  </si>
  <si>
    <t xml:space="preserve">Google Japan</t>
  </si>
  <si>
    <t xml:space="preserve">SKAG vs STAG vs intent-themed ad groups</t>
  </si>
  <si>
    <t xml:space="preserve">Strategy</t>
  </si>
  <si>
    <t xml:space="preserve">Deciding ad group granularity for a new build or restructure</t>
  </si>
  <si>
    <t xml:space="preserve">Practitioner debate</t>
  </si>
  <si>
    <t xml:space="preserve">Match-type-split campaigns with cross-negatives</t>
  </si>
  <si>
    <t xml:space="preserve">Need separate budgets/bids per match type; phrase is cannibalising exact</t>
  </si>
  <si>
    <t xml:space="preserve">Brand/non-brand firewalling (negative mesh)</t>
  </si>
  <si>
    <t xml:space="preserve">Brand terms leaking into non-brand campaigns and inflating ROAS</t>
  </si>
  <si>
    <t xml:space="preserve">Tiered campaign priorities for Shopping</t>
  </si>
  <si>
    <t xml:space="preserve">Shopping</t>
  </si>
  <si>
    <t xml:space="preserve">Running Standard Shopping and want query-level control</t>
  </si>
  <si>
    <t xml:space="preserve">Geo-split campaigns vs. bid adjustments</t>
  </si>
  <si>
    <t xml:space="preserve">All</t>
  </si>
  <si>
    <t xml:space="preserve">As needed</t>
  </si>
  <si>
    <t xml:space="preserve">P3</t>
  </si>
  <si>
    <t xml:space="preserve">Markets need separate budgets or messaging; deciding split vs. adjustment</t>
  </si>
  <si>
    <t xml:space="preserve">Mirror campaigns for Smart Bidding A/B</t>
  </si>
  <si>
    <t xml:space="preserve">Optimise</t>
  </si>
  <si>
    <t xml:space="preserve">Want to compare bid strategies; deciding mirror vs. custom experiment</t>
  </si>
  <si>
    <t xml:space="preserve">Micro-campaign consolidation for low-volume accounts</t>
  </si>
  <si>
    <t xml:space="preserve">Diagnose</t>
  </si>
  <si>
    <t xml:space="preserve">New</t>
  </si>
  <si>
    <t xml:space="preserve">Campaigns stuck in learning; &lt;15–30 conv/month per campaign</t>
  </si>
  <si>
    <t xml:space="preserve">N-gram analysis of search terms</t>
  </si>
  <si>
    <t xml:space="preserve">Keyword &amp; query</t>
  </si>
  <si>
    <t xml:space="preserve">Technique</t>
  </si>
  <si>
    <t xml:space="preserve">Monthly</t>
  </si>
  <si>
    <t xml:space="preserve">Large search terms report; need to find patterns rather than single terms</t>
  </si>
  <si>
    <t xml:space="preserve">Scripts community</t>
  </si>
  <si>
    <t xml:space="preserve">Close-variant leakage audit</t>
  </si>
  <si>
    <t xml:space="preserve">Diagnostic</t>
  </si>
  <si>
    <t xml:space="preserve">Exact-match CPA drifting; suspect Google is stretching match</t>
  </si>
  <si>
    <t xml:space="preserve">Negative keyword sculpting across campaigns</t>
  </si>
  <si>
    <t xml:space="preserve">Same query matching in several campaigns; routing traffic to the right one</t>
  </si>
  <si>
    <t xml:space="preserve">Keyword funnelling via tiered negatives</t>
  </si>
  <si>
    <t xml:space="preserve">Broad/phrase/exact live side by side; want deterministic routing</t>
  </si>
  <si>
    <t xml:space="preserve">DSA as a long-tail harvesting engine</t>
  </si>
  <si>
    <t xml:space="preserve">Large site, keyword coverage incomplete; want query discovery</t>
  </si>
  <si>
    <t xml:space="preserve">Competitor conquesting</t>
  </si>
  <si>
    <t xml:space="preserve">Considering bidding on competitor brand terms</t>
  </si>
  <si>
    <t xml:space="preserve">Broad match + Smart Bidding guardrails</t>
  </si>
  <si>
    <t xml:space="preserve">Research</t>
  </si>
  <si>
    <t xml:space="preserve">Testing broad match; need the evidence and the guardrails before rollout</t>
  </si>
  <si>
    <t xml:space="preserve">Optmyzr / Google research</t>
  </si>
  <si>
    <t xml:space="preserve">Search partners &amp; Display expansion exclusion test</t>
  </si>
  <si>
    <t xml:space="preserve">Setting</t>
  </si>
  <si>
    <t xml:space="preserve">New campaign or auditing an inherited one</t>
  </si>
  <si>
    <t xml:space="preserve">Keyword insertion case variants and DKI risks</t>
  </si>
  <si>
    <t xml:space="preserve">Considering DKI; large keyword lists with uniform intent</t>
  </si>
  <si>
    <t xml:space="preserve">Google docs + practitioner</t>
  </si>
  <si>
    <t xml:space="preserve">Low search volume / rarely shown keyword handling</t>
  </si>
  <si>
    <t xml:space="preserve">Keywords flagged low volume or rarely shown</t>
  </si>
  <si>
    <t xml:space="preserve">Intent-tier keyword taxonomy with per-tier bidding</t>
  </si>
  <si>
    <t xml:space="preserve">Building keyword lists; want bidding to follow intent</t>
  </si>
  <si>
    <t xml:space="preserve">Negative keyword conflict detection</t>
  </si>
  <si>
    <t xml:space="preserve">Impressions dropped after adding negatives; routine hygiene</t>
  </si>
  <si>
    <t xml:space="preserve">RSA iteration loop</t>
  </si>
  <si>
    <t xml:space="preserve">RSA &amp; ad copy</t>
  </si>
  <si>
    <t xml:space="preserve">Ongoing ad copy improvement; the core testing cadence</t>
  </si>
  <si>
    <t xml:space="preserve">Epiminds method</t>
  </si>
  <si>
    <t xml:space="preserve">Write compelling RSAs</t>
  </si>
  <si>
    <t xml:space="preserve">Writing new RSAs or rewriting underperformers</t>
  </si>
  <si>
    <t xml:space="preserve">Pinning strategies</t>
  </si>
  <si>
    <t xml:space="preserve">Need message control (compliance, offer) vs. letting Google combine</t>
  </si>
  <si>
    <t xml:space="preserve">Ad Strength doesn't predict performance</t>
  </si>
  <si>
    <t xml:space="preserve">Pressure to chase Excellent ad strength; deciding what to optimise instead</t>
  </si>
  <si>
    <t xml:space="preserve">Optmyzr study</t>
  </si>
  <si>
    <t xml:space="preserve">Combinations report &amp; asset ratings — what they hide</t>
  </si>
  <si>
    <t xml:space="preserve">Reviewing RSA assets; deciding what to replace</t>
  </si>
  <si>
    <t xml:space="preserve">Ad variations tool for account-wide copy tests</t>
  </si>
  <si>
    <t xml:space="preserve">Want to test one change (CTA, price, claim) across many ads</t>
  </si>
  <si>
    <t xml:space="preserve">Keyword-level ad customizers</t>
  </si>
  <si>
    <t xml:space="preserve">Many keywords with distinct prices/variants; want 1:1 copy at scale</t>
  </si>
  <si>
    <t xml:space="preserve">Dynamic ad customizers (countdown, location, business data)</t>
  </si>
  <si>
    <t xml:space="preserve">Promotions with deadlines, multi-location, or feed-driven copy</t>
  </si>
  <si>
    <t xml:space="preserve">Campaign-name-as-headline diagnostic trick</t>
  </si>
  <si>
    <t xml:space="preserve">Need to know which ad group/campaign a query actually fires from</t>
  </si>
  <si>
    <t xml:space="preserve">One vs. two RSAs per ad group under Smart Bidding</t>
  </si>
  <si>
    <t xml:space="preserve">Deciding ad count per ad group</t>
  </si>
  <si>
    <t xml:space="preserve">Headline count &amp; pinning for compliance-heavy verticals</t>
  </si>
  <si>
    <t xml:space="preserve">Finance/health/legal clients needing fixed disclaimers</t>
  </si>
  <si>
    <t xml:space="preserve">Ad copy localisation vs. translation (Nordic patterns)</t>
  </si>
  <si>
    <t xml:space="preserve">Expanding to SE/NO/DK/FI or localising English-first copy</t>
  </si>
  <si>
    <t xml:space="preserve">Improve Expected CTR</t>
  </si>
  <si>
    <t xml:space="preserve">Quality Score</t>
  </si>
  <si>
    <t xml:space="preserve">Expected CTR below average on spend-heavy keywords</t>
  </si>
  <si>
    <t xml:space="preserve">Improve Ad Relevance</t>
  </si>
  <si>
    <t xml:space="preserve">Ad relevance below average; keyword-to-ad mismatch</t>
  </si>
  <si>
    <t xml:space="preserve">Improve Landing Page Experience</t>
  </si>
  <si>
    <t xml:space="preserve">LPE below average; CPCs high relative to competitors</t>
  </si>
  <si>
    <t xml:space="preserve">QS tracker script (daily snapshot)</t>
  </si>
  <si>
    <t xml:space="preserve">Script</t>
  </si>
  <si>
    <t xml:space="preserve">Need QS history, which Google doesn't keep</t>
  </si>
  <si>
    <t xml:space="preserve">Brainlabs / Optmyzr</t>
  </si>
  <si>
    <t xml:space="preserve">Impression-weighted QS as the account metric</t>
  </si>
  <si>
    <t xml:space="preserve">Reporting QS; average QS is misleading</t>
  </si>
  <si>
    <t xml:space="preserve">Does QS matter under Smart Bidding — the evidence</t>
  </si>
  <si>
    <t xml:space="preserve">Deciding how much effort to put into QS work</t>
  </si>
  <si>
    <t xml:space="preserve">Portfolio bid strategies with max CPC caps</t>
  </si>
  <si>
    <t xml:space="preserve">Bidding</t>
  </si>
  <si>
    <t xml:space="preserve">Smart Bidding overpaying on clicks; need a ceiling</t>
  </si>
  <si>
    <t xml:space="preserve">Conversion value rules</t>
  </si>
  <si>
    <t xml:space="preserve">Want tROAS to favour an audience/location/device without splitting campaigns</t>
  </si>
  <si>
    <t xml:space="preserve">Value-based bidding for lead gen (proxy values)</t>
  </si>
  <si>
    <t xml:space="preserve">Lead-gen client; leads differ in quality; moving from tCPA to tROAS</t>
  </si>
  <si>
    <t xml:space="preserve">Micro-conversion ladder for new accounts</t>
  </si>
  <si>
    <t xml:space="preserve">Too few macro conversions for Smart Bidding to learn</t>
  </si>
  <si>
    <t xml:space="preserve">Seasonality adjustments vs. data exclusions</t>
  </si>
  <si>
    <t xml:space="preserve">Short sale coming, or a tracking outage happened</t>
  </si>
  <si>
    <t xml:space="preserve">Target impression share for brand defence</t>
  </si>
  <si>
    <t xml:space="preserve">Protect</t>
  </si>
  <si>
    <t xml:space="preserve">Competitors bidding on brand; deciding how to defend</t>
  </si>
  <si>
    <t xml:space="preserve">Bid simulator &amp; 'target too aggressive' diagnosis</t>
  </si>
  <si>
    <t xml:space="preserve">Spend dropped after a target change; campaign underdelivering</t>
  </si>
  <si>
    <t xml:space="preserve">Enhanced conversions — measurement uplift &amp; when it pays</t>
  </si>
  <si>
    <t xml:space="preserve">Deciding whether the setup effort is worth it for a client</t>
  </si>
  <si>
    <t xml:space="preserve">Offline conversion import with lead stages</t>
  </si>
  <si>
    <t xml:space="preserve">B2B/long sales cycle; want Smart Bidding on SQL/closed-won</t>
  </si>
  <si>
    <t xml:space="preserve">Conversion lag modelling</t>
  </si>
  <si>
    <t xml:space="preserve">Recent performance looks bad; need to adjust for lag before acting</t>
  </si>
  <si>
    <t xml:space="preserve">RLSA layering under Smart Bidding</t>
  </si>
  <si>
    <t xml:space="preserve">Audiences</t>
  </si>
  <si>
    <t xml:space="preserve">Have remarketing lists; deciding observation vs. target vs. bid adj</t>
  </si>
  <si>
    <t xml:space="preserve">Customer Match as signal vs. target</t>
  </si>
  <si>
    <t xml:space="preserve">Have first-party lists; deciding how to use them and refresh cadence</t>
  </si>
  <si>
    <t xml:space="preserve">B2B audience exclusions (demographic, in-market, HHI)</t>
  </si>
  <si>
    <t xml:space="preserve">B2B client getting consumer traffic</t>
  </si>
  <si>
    <t xml:space="preserve">Combined segments for intent stacking</t>
  </si>
  <si>
    <t xml:space="preserve">Want AND/OR/NOT audience logic for tighter targeting</t>
  </si>
  <si>
    <t xml:space="preserve">GA4 first-party segments into Google Ads</t>
  </si>
  <si>
    <t xml:space="preserve">GA4 linked; want behavioural segments as signals</t>
  </si>
  <si>
    <t xml:space="preserve">PMax brand exclusions — full method</t>
  </si>
  <si>
    <t xml:space="preserve">Performance Max</t>
  </si>
  <si>
    <t xml:space="preserve">PMax</t>
  </si>
  <si>
    <t xml:space="preserve">PMax eating brand traffic and inflating ROAS</t>
  </si>
  <si>
    <t xml:space="preserve">Feed-only PMax</t>
  </si>
  <si>
    <t xml:space="preserve">E-com client; want Shopping-like control without creative spend</t>
  </si>
  <si>
    <t xml:space="preserve">PMax search terms insights — what you can see and mine</t>
  </si>
  <si>
    <t xml:space="preserve">Need query-level visibility in PMax</t>
  </si>
  <si>
    <t xml:space="preserve">Asset groups by product vs. by audience</t>
  </si>
  <si>
    <t xml:space="preserve">Structuring a new PMax campaign</t>
  </si>
  <si>
    <t xml:space="preserve">PMax cannibalising brand/Search — diagnosis</t>
  </si>
  <si>
    <t xml:space="preserve">Search performance fell after PMax launch</t>
  </si>
  <si>
    <t xml:space="preserve">Mike Rhodes script + practitioner</t>
  </si>
  <si>
    <t xml:space="preserve">PMax placement exclusions &amp; display/video spend</t>
  </si>
  <si>
    <t xml:space="preserve">Too much PMax spend going to low-quality placements</t>
  </si>
  <si>
    <t xml:space="preserve">URL expansion off + final URL control</t>
  </si>
  <si>
    <t xml:space="preserve">PMax sending traffic to unintended pages</t>
  </si>
  <si>
    <t xml:space="preserve">PMax campaign-level negatives</t>
  </si>
  <si>
    <t xml:space="preserve">Irrelevant queries visible in PMax insights</t>
  </si>
  <si>
    <t xml:space="preserve">Google docs (recent feature)</t>
  </si>
  <si>
    <t xml:space="preserve">New customer acquisition goal — definition problem</t>
  </si>
  <si>
    <t xml:space="preserve">Client wants to bid higher for new customers</t>
  </si>
  <si>
    <t xml:space="preserve">Custom labels by margin / stock / seasonality</t>
  </si>
  <si>
    <t xml:space="preserve">Shopping &amp; feeds</t>
  </si>
  <si>
    <t xml:space="preserve">Want bidding tiers by profitability or availability</t>
  </si>
  <si>
    <t xml:space="preserve">Feed rules &amp; supplemental feeds</t>
  </si>
  <si>
    <t xml:space="preserve">Need to change titles/attributes without touching the source feed</t>
  </si>
  <si>
    <t xml:space="preserve">Title structure research — what moves CTR</t>
  </si>
  <si>
    <t xml:space="preserve">Shopping CTR low; titles are generic</t>
  </si>
  <si>
    <t xml:space="preserve">Industry studies</t>
  </si>
  <si>
    <t xml:space="preserve">Merchant Center diagnostics &amp; disapproval patterns</t>
  </si>
  <si>
    <t xml:space="preserve">Weekly</t>
  </si>
  <si>
    <t xml:space="preserve">Products disapproved or limited</t>
  </si>
  <si>
    <t xml:space="preserve">Shopping query sculpting via priority + negatives</t>
  </si>
  <si>
    <t xml:space="preserve">Want generic vs. brand vs. product queries in separate campaigns</t>
  </si>
  <si>
    <t xml:space="preserve">PMax insights script</t>
  </si>
  <si>
    <t xml:space="preserve">Scripts &amp; automation</t>
  </si>
  <si>
    <t xml:space="preserve">Running PMax; need channel/placement/query breakdown</t>
  </si>
  <si>
    <t xml:space="preserve">Mike Rhodes</t>
  </si>
  <si>
    <t xml:space="preserve">N-gram script</t>
  </si>
  <si>
    <t xml:space="preserve">Want automated n-gram output for search terms</t>
  </si>
  <si>
    <t xml:space="preserve">Nils Rooijmans / Brainlabs</t>
  </si>
  <si>
    <t xml:space="preserve">Budget pacing script</t>
  </si>
  <si>
    <t xml:space="preserve">Monthly budgets; need over/under-pacing alerts</t>
  </si>
  <si>
    <t xml:space="preserve">Anomaly detector script</t>
  </si>
  <si>
    <t xml:space="preserve">Want alerts on sudden spend/CPA/conv changes</t>
  </si>
  <si>
    <t xml:space="preserve">404 / broken URL checker</t>
  </si>
  <si>
    <t xml:space="preserve">Large site or frequent page changes</t>
  </si>
  <si>
    <t xml:space="preserve">Negative keyword conflict script</t>
  </si>
  <si>
    <t xml:space="preserve">Many negative lists; want automated conflict checks</t>
  </si>
  <si>
    <t xml:space="preserve">Ad disapproval alert script</t>
  </si>
  <si>
    <t xml:space="preserve">Compliance-sensitive vertical; disapprovals go unnoticed</t>
  </si>
  <si>
    <t xml:space="preserve">Search term wasted-spend script</t>
  </si>
  <si>
    <t xml:space="preserve">Want a weekly list of zero-conversion spend by query</t>
  </si>
  <si>
    <t xml:space="preserve">Automated rules vs. scripts — when each</t>
  </si>
  <si>
    <t xml:space="preserve">Deciding how to automate a recurring action</t>
  </si>
  <si>
    <t xml:space="preserve">Recommendations tab — auto-apply opt-out &amp; dismiss list</t>
  </si>
  <si>
    <t xml:space="preserve">New or inherited account; prevent Google auto-applying changes</t>
  </si>
  <si>
    <t xml:space="preserve">Custom experiments — split, duration, valid win</t>
  </si>
  <si>
    <t xml:space="preserve">Testing &amp; measurement</t>
  </si>
  <si>
    <t xml:space="preserve">Want to test a bid strategy, structure or landing page properly</t>
  </si>
  <si>
    <t xml:space="preserve">Geo experiments / conversion lift</t>
  </si>
  <si>
    <t xml:space="preserve">Need incrementality evidence for a channel or campaign</t>
  </si>
  <si>
    <t xml:space="preserve">Brand incrementality test</t>
  </si>
  <si>
    <t xml:space="preserve">Question whether brand spend is incremental</t>
  </si>
  <si>
    <t xml:space="preserve">Statistical significance for ad tests</t>
  </si>
  <si>
    <t xml:space="preserve">Calling winners in RSA/landing page tests</t>
  </si>
  <si>
    <t xml:space="preserve">Auction insights trend reading</t>
  </si>
  <si>
    <t xml:space="preserve">Performance shift with no internal change; suspect competitors</t>
  </si>
  <si>
    <t xml:space="preserve">Impression share decomposition decision rule</t>
  </si>
  <si>
    <t xml:space="preserve">Lost IS; deciding budget vs. bid vs. QS action</t>
  </si>
  <si>
    <t xml:space="preserve">Hour-of-day / day-of-week heatmap analysis</t>
  </si>
  <si>
    <t xml:space="preserve">Suspect performance varies by time; deciding schedules</t>
  </si>
  <si>
    <t xml:space="preserve">Attribution model comparison (DDA vs last click)</t>
  </si>
  <si>
    <t xml:space="preserve">Reporting delta vs. client's analytics; upper-funnel credit</t>
  </si>
  <si>
    <t xml:space="preserve">Location options: presence vs. presence-or-interest</t>
  </si>
  <si>
    <t xml:space="preserve">Defaults to override</t>
  </si>
  <si>
    <t xml:space="preserve">Every new campaign; auditing inherited accounts</t>
  </si>
  <si>
    <t xml:space="preserve">Standard off-list (partners, display expansion, URL expansion, auto-apply)</t>
  </si>
  <si>
    <t xml:space="preserve">Ad rotation settings under Smart Bidding</t>
  </si>
  <si>
    <t xml:space="preserve">Setting up or auditing ad rotation</t>
  </si>
  <si>
    <t xml:space="preserve">Account-level negatives &amp; brand restrictions</t>
  </si>
  <si>
    <t xml:space="preserve">Account-wide exclusions needed across many campaigns</t>
  </si>
  <si>
    <t xml:space="preserve">Column</t>
  </si>
  <si>
    <t xml:space="preserve">Tag</t>
  </si>
  <si>
    <t xml:space="preserve">Meaning</t>
  </si>
  <si>
    <t xml:space="preserve">How to organise campaigns/ad groups</t>
  </si>
  <si>
    <t xml:space="preserve">A choice between approaches, with the decision rule</t>
  </si>
  <si>
    <t xml:space="preserve">A specific method to apply</t>
  </si>
  <si>
    <t xml:space="preserve">A Google Ads Script to install and read</t>
  </si>
  <si>
    <t xml:space="preserve">Evidence/study that changes what you do</t>
  </si>
  <si>
    <t xml:space="preserve">How to find out what's wrong</t>
  </si>
  <si>
    <t xml:space="preserve">A default to override, and why</t>
  </si>
  <si>
    <t xml:space="preserve">Search / Shopping / PMax / All</t>
  </si>
  <si>
    <t xml:space="preserve">Which campaign type it applies to</t>
  </si>
  <si>
    <t xml:space="preserve">Building or restructuring</t>
  </si>
  <si>
    <t xml:space="preserve">Growing volume once the base works</t>
  </si>
  <si>
    <t xml:space="preserve">Ongoing improvement of a working account</t>
  </si>
  <si>
    <t xml:space="preserve">Something looks wrong; find the cause</t>
  </si>
  <si>
    <t xml:space="preserve">Defending against waste, leakage or Google defaults</t>
  </si>
  <si>
    <t xml:space="preserve">Little conversion data; learning phase</t>
  </si>
  <si>
    <t xml:space="preserve">Stable conversion volume</t>
  </si>
  <si>
    <t xml:space="preserve">Not maturity-dependent</t>
  </si>
  <si>
    <t xml:space="preserve">One-off / Weekly / Monthly / As needed</t>
  </si>
  <si>
    <t xml:space="preserve">How often it's run</t>
  </si>
  <si>
    <t xml:space="preserve">P1 / P2 / P3</t>
  </si>
  <si>
    <t xml:space="preserve">Writing order: P1 first</t>
  </si>
  <si>
    <t xml:space="preserve">Not started / Drafting / Review / Done</t>
  </si>
  <si>
    <t xml:space="preserve">Writing status of the skill file</t>
  </si>
  <si>
    <t xml:space="preserve">(yellow placeholder)</t>
  </si>
  <si>
    <t xml:space="preserve">Paste the link to the skill folder once it exists</t>
  </si>
  <si>
    <t xml:space="preserve">date</t>
  </si>
  <si>
    <t xml:space="preserve">When the skill's sources were last checked</t>
  </si>
  <si>
    <t xml:space="preserve">free text</t>
  </si>
  <si>
    <t xml:space="preserve">Platform changes that would make this skill wrong</t>
  </si>
  <si>
    <t xml:space="preserve">Strong / Adequate / Thin</t>
  </si>
  <si>
    <t xml:space="preserve">How much Tier 1–2 evidence the dossier found</t>
  </si>
  <si>
    <t xml:space="preserve">PASS / FAIL / NEEDS ELIAS</t>
  </si>
  <si>
    <t xml:space="preserve">Blind rubric review result</t>
  </si>
  <si>
    <t xml:space="preserve">Count</t>
  </si>
  <si>
    <t xml:space="preserve">Done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</si>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</sst>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2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1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9"/>
    <col collapsed="false" customWidth="true" hidden="false" outlineLevel="0" max="10" min="10" style="1" width="60"/>
    <col collapsed="false" customWidth="true" hidden="false" outlineLevel="0" max="11" min="11" style="1" width="28"/>
    <col collapsed="false" customWidth="true" hidden="false" outlineLevel="0" max="12" min="12" style="1" width="13"/>
    <col collapsed="false" customWidth="true" hidden="false" outlineLevel="0" max="13" min="13" style="1" width="12"/>
    <col collapsed="false" customWidth="true" hidden="false" outlineLevel="0" max="15" min="14" style="1" width="30"/>
    <col collapsed="false" customWidth="true" hidden="false" outlineLevel="0" max="16" min="16" style="0" width="14"/>
    <col collapsed="false" customWidth="true" hidden="false" outlineLevel="0" max="17" min="17" style="0" width="34"/>
    <col collapsed="false" customWidth="true" hidden="false" outlineLevel="0" max="18" min="18" style="0" width="15"/>
    <col collapsed="false" customWidth="true" hidden="false" outlineLevel="0" max="19" min="19" style="0" width="10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customFormat="false" ht="23.25" hidden="false" customHeight="true" outlineLevel="0" collapsed="false">
      <c r="A2" s="3" t="n">
        <v>1</v>
      </c>
      <c r="B2" s="4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 t="s">
        <v>24</v>
      </c>
      <c r="H2" s="3" t="s">
        <v>25</v>
      </c>
      <c r="I2" s="3" t="s">
        <v>26</v>
      </c>
      <c r="J2" s="4" t="s">
        <v>27</v>
      </c>
      <c r="K2" s="3" t="s">
        <v>28</v>
      </c>
      <c r="L2" s="3" t="s">
        <v>29</v>
      </c>
      <c r="M2" s="3"/>
      <c r="N2" s="5"/>
      <c r="O2" s="3"/>
      <c r="P2" s="3"/>
      <c r="Q2" s="4"/>
      <c r="R2" s="3"/>
      <c r="S2" s="3"/>
    </row>
    <row r="3" customFormat="false" ht="23.25" hidden="false" customHeight="true" outlineLevel="0" collapsed="false">
      <c r="A3" s="3" t="n">
        <v>2</v>
      </c>
      <c r="B3" s="4" t="s">
        <v>30</v>
      </c>
      <c r="C3" s="3" t="s">
        <v>20</v>
      </c>
      <c r="D3" s="3" t="s">
        <v>21</v>
      </c>
      <c r="E3" s="3" t="s">
        <v>22</v>
      </c>
      <c r="F3" s="3" t="s">
        <v>31</v>
      </c>
      <c r="G3" s="3" t="s">
        <v>32</v>
      </c>
      <c r="H3" s="3" t="s">
        <v>25</v>
      </c>
      <c r="I3" s="3" t="s">
        <v>33</v>
      </c>
      <c r="J3" s="4" t="s">
        <v>34</v>
      </c>
      <c r="K3" s="3" t="s">
        <v>35</v>
      </c>
      <c r="L3" s="3" t="s">
        <v>29</v>
      </c>
      <c r="M3" s="3"/>
      <c r="N3" s="5"/>
      <c r="O3" s="3"/>
      <c r="P3" s="3"/>
      <c r="Q3" s="4"/>
      <c r="R3" s="3"/>
      <c r="S3" s="3"/>
    </row>
    <row r="4" customFormat="false" ht="15" hidden="false" customHeight="true" outlineLevel="0" collapsed="false">
      <c r="A4" s="3" t="n">
        <v>3</v>
      </c>
      <c r="B4" s="4" t="s">
        <v>36</v>
      </c>
      <c r="C4" s="3" t="s">
        <v>20</v>
      </c>
      <c r="D4" s="3" t="s">
        <v>37</v>
      </c>
      <c r="E4" s="3" t="s">
        <v>22</v>
      </c>
      <c r="F4" s="3" t="s">
        <v>31</v>
      </c>
      <c r="G4" s="3" t="s">
        <v>32</v>
      </c>
      <c r="H4" s="3" t="s">
        <v>25</v>
      </c>
      <c r="I4" s="3" t="s">
        <v>26</v>
      </c>
      <c r="J4" s="4" t="s">
        <v>38</v>
      </c>
      <c r="K4" s="3" t="s">
        <v>39</v>
      </c>
      <c r="L4" s="3" t="s">
        <v>29</v>
      </c>
      <c r="M4" s="3"/>
      <c r="N4" s="5"/>
      <c r="O4" s="3"/>
      <c r="P4" s="3"/>
      <c r="Q4" s="4"/>
      <c r="R4" s="3"/>
      <c r="S4" s="3"/>
    </row>
    <row r="5" customFormat="false" ht="15" hidden="false" customHeight="true" outlineLevel="0" collapsed="false">
      <c r="A5" s="3" t="n">
        <v>4</v>
      </c>
      <c r="B5" s="4" t="s">
        <v>40</v>
      </c>
      <c r="C5" s="3" t="s">
        <v>20</v>
      </c>
      <c r="D5" s="3" t="s">
        <v>21</v>
      </c>
      <c r="E5" s="3" t="s">
        <v>22</v>
      </c>
      <c r="F5" s="3" t="s">
        <v>31</v>
      </c>
      <c r="G5" s="3" t="s">
        <v>24</v>
      </c>
      <c r="H5" s="3" t="s">
        <v>25</v>
      </c>
      <c r="I5" s="3" t="s">
        <v>26</v>
      </c>
      <c r="J5" s="4" t="s">
        <v>41</v>
      </c>
      <c r="K5" s="3" t="s">
        <v>28</v>
      </c>
      <c r="L5" s="3" t="s">
        <v>29</v>
      </c>
      <c r="M5" s="3"/>
      <c r="N5" s="5"/>
      <c r="O5" s="3"/>
      <c r="P5" s="3"/>
      <c r="Q5" s="4"/>
      <c r="R5" s="3"/>
      <c r="S5" s="3"/>
    </row>
    <row r="6" customFormat="false" ht="15" hidden="false" customHeight="true" outlineLevel="0" collapsed="false">
      <c r="A6" s="3" t="n">
        <v>5</v>
      </c>
      <c r="B6" s="4" t="s">
        <v>42</v>
      </c>
      <c r="C6" s="3" t="s">
        <v>20</v>
      </c>
      <c r="D6" s="3" t="s">
        <v>21</v>
      </c>
      <c r="E6" s="3" t="s">
        <v>22</v>
      </c>
      <c r="F6" s="3" t="s">
        <v>31</v>
      </c>
      <c r="G6" s="3" t="s">
        <v>32</v>
      </c>
      <c r="H6" s="3" t="s">
        <v>25</v>
      </c>
      <c r="I6" s="3" t="s">
        <v>33</v>
      </c>
      <c r="J6" s="4" t="s">
        <v>43</v>
      </c>
      <c r="K6" s="3" t="s">
        <v>28</v>
      </c>
      <c r="L6" s="3" t="s">
        <v>29</v>
      </c>
      <c r="M6" s="3"/>
      <c r="N6" s="5"/>
      <c r="O6" s="3"/>
      <c r="P6" s="3"/>
      <c r="Q6" s="4"/>
      <c r="R6" s="3"/>
      <c r="S6" s="3"/>
    </row>
    <row r="7" customFormat="false" ht="15" hidden="false" customHeight="true" outlineLevel="0" collapsed="false">
      <c r="A7" s="3" t="n">
        <v>6</v>
      </c>
      <c r="B7" s="4" t="s">
        <v>44</v>
      </c>
      <c r="C7" s="3" t="s">
        <v>20</v>
      </c>
      <c r="D7" s="3" t="s">
        <v>21</v>
      </c>
      <c r="E7" s="3" t="s">
        <v>45</v>
      </c>
      <c r="F7" s="3" t="s">
        <v>31</v>
      </c>
      <c r="G7" s="3" t="s">
        <v>32</v>
      </c>
      <c r="H7" s="3" t="s">
        <v>25</v>
      </c>
      <c r="I7" s="3" t="s">
        <v>26</v>
      </c>
      <c r="J7" s="4" t="s">
        <v>46</v>
      </c>
      <c r="K7" s="3" t="s">
        <v>28</v>
      </c>
      <c r="L7" s="3" t="s">
        <v>29</v>
      </c>
      <c r="M7" s="3"/>
      <c r="N7" s="5"/>
      <c r="O7" s="3"/>
      <c r="P7" s="3"/>
      <c r="Q7" s="4"/>
      <c r="R7" s="3"/>
      <c r="S7" s="3"/>
    </row>
    <row r="8" customFormat="false" ht="23.25" hidden="false" customHeight="true" outlineLevel="0" collapsed="false">
      <c r="A8" s="3" t="n">
        <v>7</v>
      </c>
      <c r="B8" s="4" t="s">
        <v>47</v>
      </c>
      <c r="C8" s="3" t="s">
        <v>20</v>
      </c>
      <c r="D8" s="3" t="s">
        <v>37</v>
      </c>
      <c r="E8" s="3" t="s">
        <v>48</v>
      </c>
      <c r="F8" s="3" t="s">
        <v>31</v>
      </c>
      <c r="G8" s="3" t="s">
        <v>32</v>
      </c>
      <c r="H8" s="3" t="s">
        <v>49</v>
      </c>
      <c r="I8" s="3" t="s">
        <v>50</v>
      </c>
      <c r="J8" s="4" t="s">
        <v>51</v>
      </c>
      <c r="K8" s="3" t="s">
        <v>28</v>
      </c>
      <c r="L8" s="3" t="s">
        <v>29</v>
      </c>
      <c r="M8" s="3"/>
      <c r="N8" s="5"/>
      <c r="O8" s="3"/>
      <c r="P8" s="3"/>
      <c r="Q8" s="4"/>
      <c r="R8" s="3"/>
      <c r="S8" s="3"/>
    </row>
    <row r="9" customFormat="false" ht="15" hidden="false" customHeight="true" outlineLevel="0" collapsed="false">
      <c r="A9" s="3" t="n">
        <v>8</v>
      </c>
      <c r="B9" s="4" t="s">
        <v>52</v>
      </c>
      <c r="C9" s="3" t="s">
        <v>20</v>
      </c>
      <c r="D9" s="3" t="s">
        <v>37</v>
      </c>
      <c r="E9" s="3" t="s">
        <v>22</v>
      </c>
      <c r="F9" s="3" t="s">
        <v>53</v>
      </c>
      <c r="G9" s="3" t="s">
        <v>24</v>
      </c>
      <c r="H9" s="3" t="s">
        <v>49</v>
      </c>
      <c r="I9" s="3" t="s">
        <v>50</v>
      </c>
      <c r="J9" s="4" t="s">
        <v>54</v>
      </c>
      <c r="K9" s="3" t="s">
        <v>28</v>
      </c>
      <c r="L9" s="3" t="s">
        <v>29</v>
      </c>
      <c r="M9" s="3"/>
      <c r="N9" s="5"/>
      <c r="O9" s="3"/>
      <c r="P9" s="3"/>
      <c r="Q9" s="4"/>
      <c r="R9" s="3"/>
      <c r="S9" s="3"/>
    </row>
    <row r="10" customFormat="false" ht="15" hidden="false" customHeight="true" outlineLevel="0" collapsed="false">
      <c r="A10" s="3" t="n">
        <v>9</v>
      </c>
      <c r="B10" s="4" t="s">
        <v>55</v>
      </c>
      <c r="C10" s="3" t="s">
        <v>20</v>
      </c>
      <c r="D10" s="3" t="s">
        <v>37</v>
      </c>
      <c r="E10" s="3" t="s">
        <v>22</v>
      </c>
      <c r="F10" s="3" t="s">
        <v>56</v>
      </c>
      <c r="G10" s="3" t="s">
        <v>57</v>
      </c>
      <c r="H10" s="3" t="s">
        <v>25</v>
      </c>
      <c r="I10" s="3" t="s">
        <v>26</v>
      </c>
      <c r="J10" s="4" t="s">
        <v>58</v>
      </c>
      <c r="K10" s="3" t="s">
        <v>28</v>
      </c>
      <c r="L10" s="3" t="s">
        <v>29</v>
      </c>
      <c r="M10" s="3"/>
      <c r="N10" s="5"/>
      <c r="O10" s="3"/>
      <c r="P10" s="3"/>
      <c r="Q10" s="4"/>
      <c r="R10" s="3"/>
      <c r="S10" s="3"/>
    </row>
    <row r="11" customFormat="false" ht="15" hidden="false" customHeight="true" outlineLevel="0" collapsed="false">
      <c r="A11" s="3" t="n">
        <v>10</v>
      </c>
      <c r="B11" s="4" t="s">
        <v>59</v>
      </c>
      <c r="C11" s="3" t="s">
        <v>60</v>
      </c>
      <c r="D11" s="3" t="s">
        <v>61</v>
      </c>
      <c r="E11" s="3" t="s">
        <v>22</v>
      </c>
      <c r="F11" s="3" t="s">
        <v>53</v>
      </c>
      <c r="G11" s="3" t="s">
        <v>24</v>
      </c>
      <c r="H11" s="3" t="s">
        <v>62</v>
      </c>
      <c r="I11" s="3" t="s">
        <v>33</v>
      </c>
      <c r="J11" s="4" t="s">
        <v>63</v>
      </c>
      <c r="K11" s="3" t="s">
        <v>64</v>
      </c>
      <c r="L11" s="3" t="s">
        <v>29</v>
      </c>
      <c r="M11" s="3"/>
      <c r="N11" s="5"/>
      <c r="O11" s="3"/>
      <c r="P11" s="3"/>
      <c r="Q11" s="4"/>
      <c r="R11" s="3"/>
      <c r="S11" s="3"/>
    </row>
    <row r="12" customFormat="false" ht="15" hidden="false" customHeight="true" outlineLevel="0" collapsed="false">
      <c r="A12" s="3" t="n">
        <v>11</v>
      </c>
      <c r="B12" s="4" t="s">
        <v>65</v>
      </c>
      <c r="C12" s="3" t="s">
        <v>60</v>
      </c>
      <c r="D12" s="3" t="s">
        <v>66</v>
      </c>
      <c r="E12" s="3" t="s">
        <v>22</v>
      </c>
      <c r="F12" s="3" t="s">
        <v>56</v>
      </c>
      <c r="G12" s="3" t="s">
        <v>32</v>
      </c>
      <c r="H12" s="3" t="s">
        <v>62</v>
      </c>
      <c r="I12" s="3" t="s">
        <v>33</v>
      </c>
      <c r="J12" s="4" t="s">
        <v>67</v>
      </c>
      <c r="K12" s="3" t="s">
        <v>28</v>
      </c>
      <c r="L12" s="3" t="s">
        <v>29</v>
      </c>
      <c r="M12" s="3"/>
      <c r="N12" s="5"/>
      <c r="O12" s="3"/>
      <c r="P12" s="3"/>
      <c r="Q12" s="4"/>
      <c r="R12" s="3"/>
      <c r="S12" s="3"/>
    </row>
    <row r="13" customFormat="false" ht="15" hidden="false" customHeight="true" outlineLevel="0" collapsed="false">
      <c r="A13" s="3" t="n">
        <v>12</v>
      </c>
      <c r="B13" s="4" t="s">
        <v>68</v>
      </c>
      <c r="C13" s="3" t="s">
        <v>60</v>
      </c>
      <c r="D13" s="3" t="s">
        <v>61</v>
      </c>
      <c r="E13" s="3" t="s">
        <v>22</v>
      </c>
      <c r="F13" s="3" t="s">
        <v>53</v>
      </c>
      <c r="G13" s="3" t="s">
        <v>24</v>
      </c>
      <c r="H13" s="3" t="s">
        <v>49</v>
      </c>
      <c r="I13" s="3" t="s">
        <v>33</v>
      </c>
      <c r="J13" s="4" t="s">
        <v>69</v>
      </c>
      <c r="K13" s="3" t="s">
        <v>28</v>
      </c>
      <c r="L13" s="3" t="s">
        <v>29</v>
      </c>
      <c r="M13" s="3"/>
      <c r="N13" s="5"/>
      <c r="O13" s="3"/>
      <c r="P13" s="3"/>
      <c r="Q13" s="4"/>
      <c r="R13" s="3"/>
      <c r="S13" s="3"/>
    </row>
    <row r="14" customFormat="false" ht="15" hidden="false" customHeight="true" outlineLevel="0" collapsed="false">
      <c r="A14" s="3" t="n">
        <v>13</v>
      </c>
      <c r="B14" s="4" t="s">
        <v>70</v>
      </c>
      <c r="C14" s="3" t="s">
        <v>60</v>
      </c>
      <c r="D14" s="3" t="s">
        <v>61</v>
      </c>
      <c r="E14" s="3" t="s">
        <v>22</v>
      </c>
      <c r="F14" s="3" t="s">
        <v>31</v>
      </c>
      <c r="G14" s="3" t="s">
        <v>24</v>
      </c>
      <c r="H14" s="3" t="s">
        <v>25</v>
      </c>
      <c r="I14" s="3" t="s">
        <v>26</v>
      </c>
      <c r="J14" s="4" t="s">
        <v>71</v>
      </c>
      <c r="K14" s="3" t="s">
        <v>28</v>
      </c>
      <c r="L14" s="3" t="s">
        <v>29</v>
      </c>
      <c r="M14" s="3"/>
      <c r="N14" s="5"/>
      <c r="O14" s="3"/>
      <c r="P14" s="3"/>
      <c r="Q14" s="4"/>
      <c r="R14" s="3"/>
      <c r="S14" s="3"/>
    </row>
    <row r="15" customFormat="false" ht="15" hidden="false" customHeight="true" outlineLevel="0" collapsed="false">
      <c r="A15" s="3" t="n">
        <v>14</v>
      </c>
      <c r="B15" s="4" t="s">
        <v>72</v>
      </c>
      <c r="C15" s="3" t="s">
        <v>60</v>
      </c>
      <c r="D15" s="3" t="s">
        <v>37</v>
      </c>
      <c r="E15" s="3" t="s">
        <v>22</v>
      </c>
      <c r="F15" s="3" t="s">
        <v>23</v>
      </c>
      <c r="G15" s="3" t="s">
        <v>24</v>
      </c>
      <c r="H15" s="3" t="s">
        <v>25</v>
      </c>
      <c r="I15" s="3" t="s">
        <v>26</v>
      </c>
      <c r="J15" s="4" t="s">
        <v>73</v>
      </c>
      <c r="K15" s="3" t="s">
        <v>28</v>
      </c>
      <c r="L15" s="3" t="s">
        <v>29</v>
      </c>
      <c r="M15" s="3"/>
      <c r="N15" s="5"/>
      <c r="O15" s="3"/>
      <c r="P15" s="3"/>
      <c r="Q15" s="4"/>
      <c r="R15" s="3"/>
      <c r="S15" s="3"/>
    </row>
    <row r="16" customFormat="false" ht="15" hidden="false" customHeight="true" outlineLevel="0" collapsed="false">
      <c r="A16" s="3" t="n">
        <v>15</v>
      </c>
      <c r="B16" s="4" t="s">
        <v>74</v>
      </c>
      <c r="C16" s="3" t="s">
        <v>60</v>
      </c>
      <c r="D16" s="3" t="s">
        <v>37</v>
      </c>
      <c r="E16" s="3" t="s">
        <v>22</v>
      </c>
      <c r="F16" s="3" t="s">
        <v>23</v>
      </c>
      <c r="G16" s="3" t="s">
        <v>24</v>
      </c>
      <c r="H16" s="3" t="s">
        <v>49</v>
      </c>
      <c r="I16" s="3" t="s">
        <v>50</v>
      </c>
      <c r="J16" s="4" t="s">
        <v>75</v>
      </c>
      <c r="K16" s="3" t="s">
        <v>28</v>
      </c>
      <c r="L16" s="3" t="s">
        <v>29</v>
      </c>
      <c r="M16" s="3"/>
      <c r="N16" s="5"/>
      <c r="O16" s="3"/>
      <c r="P16" s="3"/>
      <c r="Q16" s="4"/>
      <c r="R16" s="3"/>
      <c r="S16" s="3"/>
    </row>
    <row r="17" customFormat="false" ht="15" hidden="false" customHeight="true" outlineLevel="0" collapsed="false">
      <c r="A17" s="3" t="n">
        <v>16</v>
      </c>
      <c r="B17" s="4" t="s">
        <v>76</v>
      </c>
      <c r="C17" s="3" t="s">
        <v>60</v>
      </c>
      <c r="D17" s="3" t="s">
        <v>77</v>
      </c>
      <c r="E17" s="3" t="s">
        <v>22</v>
      </c>
      <c r="F17" s="3" t="s">
        <v>23</v>
      </c>
      <c r="G17" s="3" t="s">
        <v>24</v>
      </c>
      <c r="H17" s="3" t="s">
        <v>25</v>
      </c>
      <c r="I17" s="3" t="s">
        <v>33</v>
      </c>
      <c r="J17" s="4" t="s">
        <v>78</v>
      </c>
      <c r="K17" s="3" t="s">
        <v>79</v>
      </c>
      <c r="L17" s="3" t="s">
        <v>29</v>
      </c>
      <c r="M17" s="3"/>
      <c r="N17" s="5"/>
      <c r="O17" s="3"/>
      <c r="P17" s="3"/>
      <c r="Q17" s="4"/>
      <c r="R17" s="3"/>
      <c r="S17" s="3"/>
    </row>
    <row r="18" customFormat="false" ht="15" hidden="false" customHeight="true" outlineLevel="0" collapsed="false">
      <c r="A18" s="3" t="n">
        <v>17</v>
      </c>
      <c r="B18" s="4" t="s">
        <v>80</v>
      </c>
      <c r="C18" s="3" t="s">
        <v>60</v>
      </c>
      <c r="D18" s="3" t="s">
        <v>81</v>
      </c>
      <c r="E18" s="3" t="s">
        <v>22</v>
      </c>
      <c r="F18" s="3" t="s">
        <v>31</v>
      </c>
      <c r="G18" s="3" t="s">
        <v>32</v>
      </c>
      <c r="H18" s="3" t="s">
        <v>25</v>
      </c>
      <c r="I18" s="3" t="s">
        <v>26</v>
      </c>
      <c r="J18" s="4" t="s">
        <v>82</v>
      </c>
      <c r="K18" s="3" t="s">
        <v>28</v>
      </c>
      <c r="L18" s="3" t="s">
        <v>29</v>
      </c>
      <c r="M18" s="3"/>
      <c r="N18" s="5"/>
      <c r="O18" s="3"/>
      <c r="P18" s="3"/>
      <c r="Q18" s="4"/>
      <c r="R18" s="3"/>
      <c r="S18" s="3"/>
    </row>
    <row r="19" customFormat="false" ht="15" hidden="false" customHeight="true" outlineLevel="0" collapsed="false">
      <c r="A19" s="3" t="n">
        <v>18</v>
      </c>
      <c r="B19" s="4" t="s">
        <v>83</v>
      </c>
      <c r="C19" s="3" t="s">
        <v>60</v>
      </c>
      <c r="D19" s="3" t="s">
        <v>61</v>
      </c>
      <c r="E19" s="3" t="s">
        <v>22</v>
      </c>
      <c r="F19" s="3" t="s">
        <v>53</v>
      </c>
      <c r="G19" s="3" t="s">
        <v>32</v>
      </c>
      <c r="H19" s="3" t="s">
        <v>49</v>
      </c>
      <c r="I19" s="3" t="s">
        <v>50</v>
      </c>
      <c r="J19" s="4" t="s">
        <v>84</v>
      </c>
      <c r="K19" s="3" t="s">
        <v>85</v>
      </c>
      <c r="L19" s="3" t="s">
        <v>29</v>
      </c>
      <c r="M19" s="3"/>
      <c r="N19" s="5"/>
      <c r="O19" s="3"/>
      <c r="P19" s="3"/>
      <c r="Q19" s="4"/>
      <c r="R19" s="3"/>
      <c r="S19" s="3"/>
    </row>
    <row r="20" customFormat="false" ht="15" hidden="false" customHeight="true" outlineLevel="0" collapsed="false">
      <c r="A20" s="3" t="n">
        <v>19</v>
      </c>
      <c r="B20" s="4" t="s">
        <v>86</v>
      </c>
      <c r="C20" s="3" t="s">
        <v>60</v>
      </c>
      <c r="D20" s="3" t="s">
        <v>66</v>
      </c>
      <c r="E20" s="3" t="s">
        <v>22</v>
      </c>
      <c r="F20" s="3" t="s">
        <v>56</v>
      </c>
      <c r="G20" s="3" t="s">
        <v>32</v>
      </c>
      <c r="H20" s="3" t="s">
        <v>49</v>
      </c>
      <c r="I20" s="3" t="s">
        <v>50</v>
      </c>
      <c r="J20" s="4" t="s">
        <v>87</v>
      </c>
      <c r="K20" s="3" t="s">
        <v>28</v>
      </c>
      <c r="L20" s="3" t="s">
        <v>29</v>
      </c>
      <c r="M20" s="3"/>
      <c r="N20" s="5"/>
      <c r="O20" s="3"/>
      <c r="P20" s="3"/>
      <c r="Q20" s="4"/>
      <c r="R20" s="3"/>
      <c r="S20" s="3"/>
    </row>
    <row r="21" customFormat="false" ht="15" hidden="false" customHeight="true" outlineLevel="0" collapsed="false">
      <c r="A21" s="3" t="n">
        <v>20</v>
      </c>
      <c r="B21" s="4" t="s">
        <v>88</v>
      </c>
      <c r="C21" s="3" t="s">
        <v>60</v>
      </c>
      <c r="D21" s="3" t="s">
        <v>37</v>
      </c>
      <c r="E21" s="3" t="s">
        <v>22</v>
      </c>
      <c r="F21" s="3" t="s">
        <v>31</v>
      </c>
      <c r="G21" s="3" t="s">
        <v>32</v>
      </c>
      <c r="H21" s="3" t="s">
        <v>25</v>
      </c>
      <c r="I21" s="3" t="s">
        <v>26</v>
      </c>
      <c r="J21" s="4" t="s">
        <v>89</v>
      </c>
      <c r="K21" s="3" t="s">
        <v>28</v>
      </c>
      <c r="L21" s="3" t="s">
        <v>29</v>
      </c>
      <c r="M21" s="3"/>
      <c r="N21" s="5"/>
      <c r="O21" s="3"/>
      <c r="P21" s="3"/>
      <c r="Q21" s="4"/>
      <c r="R21" s="3"/>
      <c r="S21" s="3"/>
    </row>
    <row r="22" customFormat="false" ht="15" hidden="false" customHeight="true" outlineLevel="0" collapsed="false">
      <c r="A22" s="3" t="n">
        <v>21</v>
      </c>
      <c r="B22" s="4" t="s">
        <v>90</v>
      </c>
      <c r="C22" s="3" t="s">
        <v>60</v>
      </c>
      <c r="D22" s="3" t="s">
        <v>66</v>
      </c>
      <c r="E22" s="3" t="s">
        <v>22</v>
      </c>
      <c r="F22" s="3" t="s">
        <v>56</v>
      </c>
      <c r="G22" s="3" t="s">
        <v>32</v>
      </c>
      <c r="H22" s="3" t="s">
        <v>62</v>
      </c>
      <c r="I22" s="3" t="s">
        <v>26</v>
      </c>
      <c r="J22" s="4" t="s">
        <v>91</v>
      </c>
      <c r="K22" s="3" t="s">
        <v>64</v>
      </c>
      <c r="L22" s="3" t="s">
        <v>29</v>
      </c>
      <c r="M22" s="3"/>
      <c r="N22" s="5"/>
      <c r="O22" s="3"/>
      <c r="P22" s="3"/>
      <c r="Q22" s="4"/>
      <c r="R22" s="3"/>
      <c r="S22" s="3"/>
    </row>
    <row r="23" customFormat="false" ht="15" hidden="false" customHeight="true" outlineLevel="0" collapsed="false">
      <c r="A23" s="3" t="n">
        <v>22</v>
      </c>
      <c r="B23" s="4" t="s">
        <v>92</v>
      </c>
      <c r="C23" s="3" t="s">
        <v>93</v>
      </c>
      <c r="D23" s="3" t="s">
        <v>61</v>
      </c>
      <c r="E23" s="3" t="s">
        <v>22</v>
      </c>
      <c r="F23" s="3" t="s">
        <v>53</v>
      </c>
      <c r="G23" s="3" t="s">
        <v>32</v>
      </c>
      <c r="H23" s="3" t="s">
        <v>62</v>
      </c>
      <c r="I23" s="3" t="s">
        <v>33</v>
      </c>
      <c r="J23" s="4" t="s">
        <v>94</v>
      </c>
      <c r="K23" s="3" t="s">
        <v>95</v>
      </c>
      <c r="L23" s="3" t="s">
        <v>29</v>
      </c>
      <c r="M23" s="3"/>
      <c r="N23" s="5"/>
      <c r="O23" s="3"/>
      <c r="P23" s="3"/>
      <c r="Q23" s="4"/>
      <c r="R23" s="3"/>
      <c r="S23" s="3"/>
    </row>
    <row r="24" customFormat="false" ht="15" hidden="false" customHeight="true" outlineLevel="0" collapsed="false">
      <c r="A24" s="3" t="n">
        <v>23</v>
      </c>
      <c r="B24" s="4" t="s">
        <v>96</v>
      </c>
      <c r="C24" s="3" t="s">
        <v>93</v>
      </c>
      <c r="D24" s="3" t="s">
        <v>61</v>
      </c>
      <c r="E24" s="3" t="s">
        <v>22</v>
      </c>
      <c r="F24" s="3" t="s">
        <v>31</v>
      </c>
      <c r="G24" s="3" t="s">
        <v>32</v>
      </c>
      <c r="H24" s="3" t="s">
        <v>49</v>
      </c>
      <c r="I24" s="3" t="s">
        <v>33</v>
      </c>
      <c r="J24" s="4" t="s">
        <v>97</v>
      </c>
      <c r="K24" s="3" t="s">
        <v>95</v>
      </c>
      <c r="L24" s="3" t="s">
        <v>29</v>
      </c>
      <c r="M24" s="3"/>
      <c r="N24" s="5"/>
      <c r="O24" s="3"/>
      <c r="P24" s="3"/>
      <c r="Q24" s="4"/>
      <c r="R24" s="3"/>
      <c r="S24" s="3"/>
    </row>
    <row r="25" customFormat="false" ht="15" hidden="false" customHeight="true" outlineLevel="0" collapsed="false">
      <c r="A25" s="3" t="n">
        <v>24</v>
      </c>
      <c r="B25" s="4" t="s">
        <v>98</v>
      </c>
      <c r="C25" s="3" t="s">
        <v>93</v>
      </c>
      <c r="D25" s="3" t="s">
        <v>37</v>
      </c>
      <c r="E25" s="3" t="s">
        <v>22</v>
      </c>
      <c r="F25" s="3" t="s">
        <v>53</v>
      </c>
      <c r="G25" s="3" t="s">
        <v>32</v>
      </c>
      <c r="H25" s="3" t="s">
        <v>49</v>
      </c>
      <c r="I25" s="3" t="s">
        <v>33</v>
      </c>
      <c r="J25" s="4" t="s">
        <v>99</v>
      </c>
      <c r="K25" s="3" t="s">
        <v>28</v>
      </c>
      <c r="L25" s="3" t="s">
        <v>29</v>
      </c>
      <c r="M25" s="3"/>
      <c r="N25" s="5"/>
      <c r="O25" s="3"/>
      <c r="P25" s="3"/>
      <c r="Q25" s="4"/>
      <c r="R25" s="3"/>
      <c r="S25" s="3"/>
    </row>
    <row r="26" customFormat="false" ht="23.25" hidden="false" customHeight="true" outlineLevel="0" collapsed="false">
      <c r="A26" s="3" t="n">
        <v>25</v>
      </c>
      <c r="B26" s="4" t="s">
        <v>100</v>
      </c>
      <c r="C26" s="3" t="s">
        <v>93</v>
      </c>
      <c r="D26" s="3" t="s">
        <v>77</v>
      </c>
      <c r="E26" s="3" t="s">
        <v>22</v>
      </c>
      <c r="F26" s="3" t="s">
        <v>53</v>
      </c>
      <c r="G26" s="3" t="s">
        <v>32</v>
      </c>
      <c r="H26" s="3" t="s">
        <v>25</v>
      </c>
      <c r="I26" s="3" t="s">
        <v>26</v>
      </c>
      <c r="J26" s="4" t="s">
        <v>101</v>
      </c>
      <c r="K26" s="3" t="s">
        <v>102</v>
      </c>
      <c r="L26" s="3" t="s">
        <v>29</v>
      </c>
      <c r="M26" s="3"/>
      <c r="N26" s="5"/>
      <c r="O26" s="3"/>
      <c r="P26" s="3"/>
      <c r="Q26" s="4"/>
      <c r="R26" s="3"/>
      <c r="S26" s="3"/>
    </row>
    <row r="27" customFormat="false" ht="15" hidden="false" customHeight="true" outlineLevel="0" collapsed="false">
      <c r="A27" s="3" t="n">
        <v>26</v>
      </c>
      <c r="B27" s="4" t="s">
        <v>103</v>
      </c>
      <c r="C27" s="3" t="s">
        <v>93</v>
      </c>
      <c r="D27" s="3" t="s">
        <v>66</v>
      </c>
      <c r="E27" s="3" t="s">
        <v>22</v>
      </c>
      <c r="F27" s="3" t="s">
        <v>56</v>
      </c>
      <c r="G27" s="3" t="s">
        <v>24</v>
      </c>
      <c r="H27" s="3" t="s">
        <v>62</v>
      </c>
      <c r="I27" s="3" t="s">
        <v>26</v>
      </c>
      <c r="J27" s="4" t="s">
        <v>104</v>
      </c>
      <c r="K27" s="3" t="s">
        <v>28</v>
      </c>
      <c r="L27" s="3" t="s">
        <v>29</v>
      </c>
      <c r="M27" s="3"/>
      <c r="N27" s="5"/>
      <c r="O27" s="3"/>
      <c r="P27" s="3"/>
      <c r="Q27" s="4"/>
      <c r="R27" s="3"/>
      <c r="S27" s="3"/>
    </row>
    <row r="28" customFormat="false" ht="15" hidden="false" customHeight="true" outlineLevel="0" collapsed="false">
      <c r="A28" s="3" t="n">
        <v>27</v>
      </c>
      <c r="B28" s="4" t="s">
        <v>105</v>
      </c>
      <c r="C28" s="3" t="s">
        <v>93</v>
      </c>
      <c r="D28" s="3" t="s">
        <v>61</v>
      </c>
      <c r="E28" s="3" t="s">
        <v>22</v>
      </c>
      <c r="F28" s="3" t="s">
        <v>53</v>
      </c>
      <c r="G28" s="3" t="s">
        <v>24</v>
      </c>
      <c r="H28" s="3" t="s">
        <v>49</v>
      </c>
      <c r="I28" s="3" t="s">
        <v>50</v>
      </c>
      <c r="J28" s="4" t="s">
        <v>106</v>
      </c>
      <c r="K28" s="3" t="s">
        <v>85</v>
      </c>
      <c r="L28" s="3" t="s">
        <v>29</v>
      </c>
      <c r="M28" s="3"/>
      <c r="N28" s="5"/>
      <c r="O28" s="3"/>
      <c r="P28" s="3"/>
      <c r="Q28" s="4"/>
      <c r="R28" s="3"/>
      <c r="S28" s="3"/>
    </row>
    <row r="29" customFormat="false" ht="15" hidden="false" customHeight="true" outlineLevel="0" collapsed="false">
      <c r="A29" s="3" t="n">
        <v>28</v>
      </c>
      <c r="B29" s="4" t="s">
        <v>107</v>
      </c>
      <c r="C29" s="3" t="s">
        <v>93</v>
      </c>
      <c r="D29" s="3" t="s">
        <v>61</v>
      </c>
      <c r="E29" s="3" t="s">
        <v>22</v>
      </c>
      <c r="F29" s="3" t="s">
        <v>23</v>
      </c>
      <c r="G29" s="3" t="s">
        <v>24</v>
      </c>
      <c r="H29" s="3" t="s">
        <v>25</v>
      </c>
      <c r="I29" s="3" t="s">
        <v>26</v>
      </c>
      <c r="J29" s="4" t="s">
        <v>108</v>
      </c>
      <c r="K29" s="3" t="s">
        <v>85</v>
      </c>
      <c r="L29" s="3" t="s">
        <v>29</v>
      </c>
      <c r="M29" s="3"/>
      <c r="N29" s="5"/>
      <c r="O29" s="3"/>
      <c r="P29" s="3"/>
      <c r="Q29" s="4"/>
      <c r="R29" s="3"/>
      <c r="S29" s="3"/>
    </row>
    <row r="30" customFormat="false" ht="15" hidden="false" customHeight="true" outlineLevel="0" collapsed="false">
      <c r="A30" s="3" t="n">
        <v>29</v>
      </c>
      <c r="B30" s="4" t="s">
        <v>109</v>
      </c>
      <c r="C30" s="3" t="s">
        <v>93</v>
      </c>
      <c r="D30" s="3" t="s">
        <v>61</v>
      </c>
      <c r="E30" s="3" t="s">
        <v>22</v>
      </c>
      <c r="F30" s="3" t="s">
        <v>23</v>
      </c>
      <c r="G30" s="3" t="s">
        <v>24</v>
      </c>
      <c r="H30" s="3" t="s">
        <v>25</v>
      </c>
      <c r="I30" s="3" t="s">
        <v>26</v>
      </c>
      <c r="J30" s="4" t="s">
        <v>110</v>
      </c>
      <c r="K30" s="3" t="s">
        <v>85</v>
      </c>
      <c r="L30" s="3" t="s">
        <v>29</v>
      </c>
      <c r="M30" s="3"/>
      <c r="N30" s="5"/>
      <c r="O30" s="3"/>
      <c r="P30" s="3"/>
      <c r="Q30" s="4"/>
      <c r="R30" s="3"/>
      <c r="S30" s="3"/>
    </row>
    <row r="31" customFormat="false" ht="15" hidden="false" customHeight="true" outlineLevel="0" collapsed="false">
      <c r="A31" s="3" t="n">
        <v>30</v>
      </c>
      <c r="B31" s="4" t="s">
        <v>111</v>
      </c>
      <c r="C31" s="3" t="s">
        <v>93</v>
      </c>
      <c r="D31" s="3" t="s">
        <v>66</v>
      </c>
      <c r="E31" s="3" t="s">
        <v>22</v>
      </c>
      <c r="F31" s="3" t="s">
        <v>56</v>
      </c>
      <c r="G31" s="3" t="s">
        <v>32</v>
      </c>
      <c r="H31" s="3" t="s">
        <v>49</v>
      </c>
      <c r="I31" s="3" t="s">
        <v>50</v>
      </c>
      <c r="J31" s="4" t="s">
        <v>112</v>
      </c>
      <c r="K31" s="3" t="s">
        <v>28</v>
      </c>
      <c r="L31" s="3" t="s">
        <v>29</v>
      </c>
      <c r="M31" s="3"/>
      <c r="N31" s="5"/>
      <c r="O31" s="3"/>
      <c r="P31" s="3"/>
      <c r="Q31" s="4"/>
      <c r="R31" s="3"/>
      <c r="S31" s="3"/>
    </row>
    <row r="32" customFormat="false" ht="15" hidden="false" customHeight="true" outlineLevel="0" collapsed="false">
      <c r="A32" s="3" t="n">
        <v>31</v>
      </c>
      <c r="B32" s="4" t="s">
        <v>113</v>
      </c>
      <c r="C32" s="3" t="s">
        <v>93</v>
      </c>
      <c r="D32" s="3" t="s">
        <v>77</v>
      </c>
      <c r="E32" s="3" t="s">
        <v>22</v>
      </c>
      <c r="F32" s="3" t="s">
        <v>31</v>
      </c>
      <c r="G32" s="3" t="s">
        <v>32</v>
      </c>
      <c r="H32" s="3" t="s">
        <v>25</v>
      </c>
      <c r="I32" s="3" t="s">
        <v>50</v>
      </c>
      <c r="J32" s="4" t="s">
        <v>114</v>
      </c>
      <c r="K32" s="3" t="s">
        <v>39</v>
      </c>
      <c r="L32" s="3" t="s">
        <v>29</v>
      </c>
      <c r="M32" s="3"/>
      <c r="N32" s="5"/>
      <c r="O32" s="3"/>
      <c r="P32" s="3"/>
      <c r="Q32" s="4"/>
      <c r="R32" s="3"/>
      <c r="S32" s="3"/>
    </row>
    <row r="33" customFormat="false" ht="15" hidden="false" customHeight="true" outlineLevel="0" collapsed="false">
      <c r="A33" s="3" t="n">
        <v>32</v>
      </c>
      <c r="B33" s="4" t="s">
        <v>115</v>
      </c>
      <c r="C33" s="3" t="s">
        <v>93</v>
      </c>
      <c r="D33" s="3" t="s">
        <v>37</v>
      </c>
      <c r="E33" s="3" t="s">
        <v>22</v>
      </c>
      <c r="F33" s="3" t="s">
        <v>31</v>
      </c>
      <c r="G33" s="3" t="s">
        <v>32</v>
      </c>
      <c r="H33" s="3" t="s">
        <v>25</v>
      </c>
      <c r="I33" s="3" t="s">
        <v>50</v>
      </c>
      <c r="J33" s="4" t="s">
        <v>116</v>
      </c>
      <c r="K33" s="3" t="s">
        <v>28</v>
      </c>
      <c r="L33" s="3" t="s">
        <v>29</v>
      </c>
      <c r="M33" s="3"/>
      <c r="N33" s="5"/>
      <c r="O33" s="3"/>
      <c r="P33" s="3"/>
      <c r="Q33" s="4"/>
      <c r="R33" s="3"/>
      <c r="S33" s="3"/>
    </row>
    <row r="34" customFormat="false" ht="15" hidden="false" customHeight="true" outlineLevel="0" collapsed="false">
      <c r="A34" s="3" t="n">
        <v>33</v>
      </c>
      <c r="B34" s="4" t="s">
        <v>117</v>
      </c>
      <c r="C34" s="3" t="s">
        <v>93</v>
      </c>
      <c r="D34" s="3" t="s">
        <v>61</v>
      </c>
      <c r="E34" s="3" t="s">
        <v>48</v>
      </c>
      <c r="F34" s="3" t="s">
        <v>31</v>
      </c>
      <c r="G34" s="3" t="s">
        <v>32</v>
      </c>
      <c r="H34" s="3" t="s">
        <v>49</v>
      </c>
      <c r="I34" s="3" t="s">
        <v>26</v>
      </c>
      <c r="J34" s="4" t="s">
        <v>118</v>
      </c>
      <c r="K34" s="3" t="s">
        <v>95</v>
      </c>
      <c r="L34" s="3" t="s">
        <v>29</v>
      </c>
      <c r="M34" s="3"/>
      <c r="N34" s="5"/>
      <c r="O34" s="3"/>
      <c r="P34" s="3"/>
      <c r="Q34" s="4"/>
      <c r="R34" s="3"/>
      <c r="S34" s="3"/>
    </row>
    <row r="35" customFormat="false" ht="15" hidden="false" customHeight="true" outlineLevel="0" collapsed="false">
      <c r="A35" s="3" t="n">
        <v>34</v>
      </c>
      <c r="B35" s="4" t="s">
        <v>119</v>
      </c>
      <c r="C35" s="3" t="s">
        <v>120</v>
      </c>
      <c r="D35" s="3" t="s">
        <v>61</v>
      </c>
      <c r="E35" s="3" t="s">
        <v>22</v>
      </c>
      <c r="F35" s="3" t="s">
        <v>53</v>
      </c>
      <c r="G35" s="3" t="s">
        <v>32</v>
      </c>
      <c r="H35" s="3" t="s">
        <v>49</v>
      </c>
      <c r="I35" s="3" t="s">
        <v>33</v>
      </c>
      <c r="J35" s="4" t="s">
        <v>121</v>
      </c>
      <c r="K35" s="3" t="s">
        <v>95</v>
      </c>
      <c r="L35" s="3" t="s">
        <v>29</v>
      </c>
      <c r="M35" s="3"/>
      <c r="N35" s="5"/>
      <c r="O35" s="3"/>
      <c r="P35" s="3"/>
      <c r="Q35" s="4"/>
      <c r="R35" s="3"/>
      <c r="S35" s="3"/>
    </row>
    <row r="36" customFormat="false" ht="15" hidden="false" customHeight="true" outlineLevel="0" collapsed="false">
      <c r="A36" s="3" t="n">
        <v>35</v>
      </c>
      <c r="B36" s="4" t="s">
        <v>122</v>
      </c>
      <c r="C36" s="3" t="s">
        <v>120</v>
      </c>
      <c r="D36" s="3" t="s">
        <v>61</v>
      </c>
      <c r="E36" s="3" t="s">
        <v>22</v>
      </c>
      <c r="F36" s="3" t="s">
        <v>53</v>
      </c>
      <c r="G36" s="3" t="s">
        <v>32</v>
      </c>
      <c r="H36" s="3" t="s">
        <v>49</v>
      </c>
      <c r="I36" s="3" t="s">
        <v>33</v>
      </c>
      <c r="J36" s="4" t="s">
        <v>123</v>
      </c>
      <c r="K36" s="3" t="s">
        <v>95</v>
      </c>
      <c r="L36" s="3" t="s">
        <v>29</v>
      </c>
      <c r="M36" s="3"/>
      <c r="N36" s="5"/>
      <c r="O36" s="3"/>
      <c r="P36" s="3"/>
      <c r="Q36" s="4"/>
      <c r="R36" s="3"/>
      <c r="S36" s="3"/>
    </row>
    <row r="37" customFormat="false" ht="15" hidden="false" customHeight="true" outlineLevel="0" collapsed="false">
      <c r="A37" s="3" t="n">
        <v>36</v>
      </c>
      <c r="B37" s="4" t="s">
        <v>124</v>
      </c>
      <c r="C37" s="3" t="s">
        <v>120</v>
      </c>
      <c r="D37" s="3" t="s">
        <v>61</v>
      </c>
      <c r="E37" s="3" t="s">
        <v>22</v>
      </c>
      <c r="F37" s="3" t="s">
        <v>53</v>
      </c>
      <c r="G37" s="3" t="s">
        <v>32</v>
      </c>
      <c r="H37" s="3" t="s">
        <v>49</v>
      </c>
      <c r="I37" s="3" t="s">
        <v>33</v>
      </c>
      <c r="J37" s="4" t="s">
        <v>125</v>
      </c>
      <c r="K37" s="3" t="s">
        <v>95</v>
      </c>
      <c r="L37" s="3" t="s">
        <v>29</v>
      </c>
      <c r="M37" s="3"/>
      <c r="N37" s="5"/>
      <c r="O37" s="3"/>
      <c r="P37" s="3"/>
      <c r="Q37" s="4"/>
      <c r="R37" s="3"/>
      <c r="S37" s="3"/>
    </row>
    <row r="38" customFormat="false" ht="15" hidden="false" customHeight="true" outlineLevel="0" collapsed="false">
      <c r="A38" s="3" t="n">
        <v>37</v>
      </c>
      <c r="B38" s="4" t="s">
        <v>126</v>
      </c>
      <c r="C38" s="3" t="s">
        <v>120</v>
      </c>
      <c r="D38" s="3" t="s">
        <v>127</v>
      </c>
      <c r="E38" s="3" t="s">
        <v>22</v>
      </c>
      <c r="F38" s="3" t="s">
        <v>31</v>
      </c>
      <c r="G38" s="3" t="s">
        <v>32</v>
      </c>
      <c r="H38" s="3" t="s">
        <v>25</v>
      </c>
      <c r="I38" s="3" t="s">
        <v>26</v>
      </c>
      <c r="J38" s="4" t="s">
        <v>128</v>
      </c>
      <c r="K38" s="3" t="s">
        <v>129</v>
      </c>
      <c r="L38" s="3" t="s">
        <v>29</v>
      </c>
      <c r="M38" s="3"/>
      <c r="N38" s="5"/>
      <c r="O38" s="3"/>
      <c r="P38" s="3"/>
      <c r="Q38" s="4"/>
      <c r="R38" s="3"/>
      <c r="S38" s="3"/>
    </row>
    <row r="39" customFormat="false" ht="15" hidden="false" customHeight="true" outlineLevel="0" collapsed="false">
      <c r="A39" s="3" t="n">
        <v>38</v>
      </c>
      <c r="B39" s="4" t="s">
        <v>130</v>
      </c>
      <c r="C39" s="3" t="s">
        <v>120</v>
      </c>
      <c r="D39" s="3" t="s">
        <v>61</v>
      </c>
      <c r="E39" s="3" t="s">
        <v>22</v>
      </c>
      <c r="F39" s="3" t="s">
        <v>56</v>
      </c>
      <c r="G39" s="3" t="s">
        <v>32</v>
      </c>
      <c r="H39" s="3" t="s">
        <v>62</v>
      </c>
      <c r="I39" s="3" t="s">
        <v>26</v>
      </c>
      <c r="J39" s="4" t="s">
        <v>131</v>
      </c>
      <c r="K39" s="3" t="s">
        <v>28</v>
      </c>
      <c r="L39" s="3" t="s">
        <v>29</v>
      </c>
      <c r="M39" s="3"/>
      <c r="N39" s="5"/>
      <c r="O39" s="3"/>
      <c r="P39" s="3"/>
      <c r="Q39" s="4"/>
      <c r="R39" s="3"/>
      <c r="S39" s="3"/>
    </row>
    <row r="40" customFormat="false" ht="15" hidden="false" customHeight="true" outlineLevel="0" collapsed="false">
      <c r="A40" s="3" t="n">
        <v>39</v>
      </c>
      <c r="B40" s="4" t="s">
        <v>132</v>
      </c>
      <c r="C40" s="3" t="s">
        <v>120</v>
      </c>
      <c r="D40" s="3" t="s">
        <v>77</v>
      </c>
      <c r="E40" s="3" t="s">
        <v>22</v>
      </c>
      <c r="F40" s="3" t="s">
        <v>53</v>
      </c>
      <c r="G40" s="3" t="s">
        <v>32</v>
      </c>
      <c r="H40" s="3" t="s">
        <v>25</v>
      </c>
      <c r="I40" s="3" t="s">
        <v>50</v>
      </c>
      <c r="J40" s="4" t="s">
        <v>133</v>
      </c>
      <c r="K40" s="3" t="s">
        <v>39</v>
      </c>
      <c r="L40" s="3" t="s">
        <v>29</v>
      </c>
      <c r="M40" s="3"/>
      <c r="N40" s="5"/>
      <c r="O40" s="3"/>
      <c r="P40" s="3"/>
      <c r="Q40" s="4"/>
      <c r="R40" s="3"/>
      <c r="S40" s="3"/>
    </row>
    <row r="41" customFormat="false" ht="15" hidden="false" customHeight="true" outlineLevel="0" collapsed="false">
      <c r="A41" s="3" t="n">
        <v>40</v>
      </c>
      <c r="B41" s="4" t="s">
        <v>134</v>
      </c>
      <c r="C41" s="3" t="s">
        <v>135</v>
      </c>
      <c r="D41" s="3" t="s">
        <v>61</v>
      </c>
      <c r="E41" s="3" t="s">
        <v>22</v>
      </c>
      <c r="F41" s="3" t="s">
        <v>53</v>
      </c>
      <c r="G41" s="3" t="s">
        <v>24</v>
      </c>
      <c r="H41" s="3" t="s">
        <v>25</v>
      </c>
      <c r="I41" s="3" t="s">
        <v>33</v>
      </c>
      <c r="J41" s="4" t="s">
        <v>136</v>
      </c>
      <c r="K41" s="3" t="s">
        <v>85</v>
      </c>
      <c r="L41" s="3" t="s">
        <v>29</v>
      </c>
      <c r="M41" s="3"/>
      <c r="N41" s="5"/>
      <c r="O41" s="3"/>
      <c r="P41" s="3"/>
      <c r="Q41" s="4"/>
      <c r="R41" s="3"/>
      <c r="S41" s="3"/>
    </row>
    <row r="42" customFormat="false" ht="23.25" hidden="false" customHeight="true" outlineLevel="0" collapsed="false">
      <c r="A42" s="3" t="n">
        <v>41</v>
      </c>
      <c r="B42" s="4" t="s">
        <v>137</v>
      </c>
      <c r="C42" s="3" t="s">
        <v>135</v>
      </c>
      <c r="D42" s="3" t="s">
        <v>61</v>
      </c>
      <c r="E42" s="3" t="s">
        <v>48</v>
      </c>
      <c r="F42" s="3" t="s">
        <v>53</v>
      </c>
      <c r="G42" s="3" t="s">
        <v>24</v>
      </c>
      <c r="H42" s="3" t="s">
        <v>25</v>
      </c>
      <c r="I42" s="3" t="s">
        <v>26</v>
      </c>
      <c r="J42" s="4" t="s">
        <v>138</v>
      </c>
      <c r="K42" s="3" t="s">
        <v>85</v>
      </c>
      <c r="L42" s="3" t="s">
        <v>29</v>
      </c>
      <c r="M42" s="3"/>
      <c r="N42" s="5"/>
      <c r="O42" s="3"/>
      <c r="P42" s="3"/>
      <c r="Q42" s="4"/>
      <c r="R42" s="3"/>
      <c r="S42" s="3"/>
    </row>
    <row r="43" customFormat="false" ht="15" hidden="false" customHeight="true" outlineLevel="0" collapsed="false">
      <c r="A43" s="3" t="n">
        <v>42</v>
      </c>
      <c r="B43" s="4" t="s">
        <v>139</v>
      </c>
      <c r="C43" s="3" t="s">
        <v>135</v>
      </c>
      <c r="D43" s="3" t="s">
        <v>37</v>
      </c>
      <c r="E43" s="3" t="s">
        <v>48</v>
      </c>
      <c r="F43" s="3" t="s">
        <v>23</v>
      </c>
      <c r="G43" s="3" t="s">
        <v>24</v>
      </c>
      <c r="H43" s="3" t="s">
        <v>25</v>
      </c>
      <c r="I43" s="3" t="s">
        <v>33</v>
      </c>
      <c r="J43" s="4" t="s">
        <v>140</v>
      </c>
      <c r="K43" s="3" t="s">
        <v>28</v>
      </c>
      <c r="L43" s="3" t="s">
        <v>29</v>
      </c>
      <c r="M43" s="3"/>
      <c r="N43" s="5"/>
      <c r="O43" s="3"/>
      <c r="P43" s="3"/>
      <c r="Q43" s="4"/>
      <c r="R43" s="3"/>
      <c r="S43" s="3"/>
    </row>
    <row r="44" customFormat="false" ht="15" hidden="false" customHeight="true" outlineLevel="0" collapsed="false">
      <c r="A44" s="3" t="n">
        <v>43</v>
      </c>
      <c r="B44" s="4" t="s">
        <v>141</v>
      </c>
      <c r="C44" s="3" t="s">
        <v>135</v>
      </c>
      <c r="D44" s="3" t="s">
        <v>37</v>
      </c>
      <c r="E44" s="3" t="s">
        <v>48</v>
      </c>
      <c r="F44" s="3" t="s">
        <v>31</v>
      </c>
      <c r="G44" s="3" t="s">
        <v>57</v>
      </c>
      <c r="H44" s="3" t="s">
        <v>25</v>
      </c>
      <c r="I44" s="3" t="s">
        <v>33</v>
      </c>
      <c r="J44" s="4" t="s">
        <v>142</v>
      </c>
      <c r="K44" s="3" t="s">
        <v>28</v>
      </c>
      <c r="L44" s="3" t="s">
        <v>29</v>
      </c>
      <c r="M44" s="3"/>
      <c r="N44" s="5"/>
      <c r="O44" s="3"/>
      <c r="P44" s="3"/>
      <c r="Q44" s="4"/>
      <c r="R44" s="3"/>
      <c r="S44" s="3"/>
    </row>
    <row r="45" customFormat="false" ht="15" hidden="false" customHeight="true" outlineLevel="0" collapsed="false">
      <c r="A45" s="3" t="n">
        <v>44</v>
      </c>
      <c r="B45" s="4" t="s">
        <v>143</v>
      </c>
      <c r="C45" s="3" t="s">
        <v>135</v>
      </c>
      <c r="D45" s="3" t="s">
        <v>61</v>
      </c>
      <c r="E45" s="3" t="s">
        <v>48</v>
      </c>
      <c r="F45" s="3" t="s">
        <v>53</v>
      </c>
      <c r="G45" s="3" t="s">
        <v>24</v>
      </c>
      <c r="H45" s="3" t="s">
        <v>49</v>
      </c>
      <c r="I45" s="3" t="s">
        <v>26</v>
      </c>
      <c r="J45" s="4" t="s">
        <v>144</v>
      </c>
      <c r="K45" s="3" t="s">
        <v>85</v>
      </c>
      <c r="L45" s="3" t="s">
        <v>29</v>
      </c>
      <c r="M45" s="3"/>
      <c r="N45" s="5"/>
      <c r="O45" s="3"/>
      <c r="P45" s="3"/>
      <c r="Q45" s="4"/>
      <c r="R45" s="3"/>
      <c r="S45" s="3"/>
    </row>
    <row r="46" customFormat="false" ht="15" hidden="false" customHeight="true" outlineLevel="0" collapsed="false">
      <c r="A46" s="3" t="n">
        <v>45</v>
      </c>
      <c r="B46" s="4" t="s">
        <v>145</v>
      </c>
      <c r="C46" s="3" t="s">
        <v>135</v>
      </c>
      <c r="D46" s="3" t="s">
        <v>37</v>
      </c>
      <c r="E46" s="3" t="s">
        <v>22</v>
      </c>
      <c r="F46" s="3" t="s">
        <v>146</v>
      </c>
      <c r="G46" s="3" t="s">
        <v>32</v>
      </c>
      <c r="H46" s="3" t="s">
        <v>25</v>
      </c>
      <c r="I46" s="3" t="s">
        <v>26</v>
      </c>
      <c r="J46" s="4" t="s">
        <v>147</v>
      </c>
      <c r="K46" s="3" t="s">
        <v>28</v>
      </c>
      <c r="L46" s="3" t="s">
        <v>29</v>
      </c>
      <c r="M46" s="3"/>
      <c r="N46" s="5"/>
      <c r="O46" s="3"/>
      <c r="P46" s="3"/>
      <c r="Q46" s="4"/>
      <c r="R46" s="3"/>
      <c r="S46" s="3"/>
    </row>
    <row r="47" customFormat="false" ht="15" hidden="false" customHeight="true" outlineLevel="0" collapsed="false">
      <c r="A47" s="3" t="n">
        <v>46</v>
      </c>
      <c r="B47" s="4" t="s">
        <v>148</v>
      </c>
      <c r="C47" s="3" t="s">
        <v>135</v>
      </c>
      <c r="D47" s="3" t="s">
        <v>66</v>
      </c>
      <c r="E47" s="3" t="s">
        <v>48</v>
      </c>
      <c r="F47" s="3" t="s">
        <v>56</v>
      </c>
      <c r="G47" s="3" t="s">
        <v>24</v>
      </c>
      <c r="H47" s="3" t="s">
        <v>49</v>
      </c>
      <c r="I47" s="3" t="s">
        <v>26</v>
      </c>
      <c r="J47" s="4" t="s">
        <v>149</v>
      </c>
      <c r="K47" s="3" t="s">
        <v>28</v>
      </c>
      <c r="L47" s="3" t="s">
        <v>29</v>
      </c>
      <c r="M47" s="3"/>
      <c r="N47" s="5"/>
      <c r="O47" s="3"/>
      <c r="P47" s="3"/>
      <c r="Q47" s="4"/>
      <c r="R47" s="3"/>
      <c r="S47" s="3"/>
    </row>
    <row r="48" customFormat="false" ht="15" hidden="false" customHeight="true" outlineLevel="0" collapsed="false">
      <c r="A48" s="3" t="n">
        <v>47</v>
      </c>
      <c r="B48" s="4" t="s">
        <v>150</v>
      </c>
      <c r="C48" s="3" t="s">
        <v>135</v>
      </c>
      <c r="D48" s="3" t="s">
        <v>77</v>
      </c>
      <c r="E48" s="3" t="s">
        <v>48</v>
      </c>
      <c r="F48" s="3" t="s">
        <v>31</v>
      </c>
      <c r="G48" s="3" t="s">
        <v>32</v>
      </c>
      <c r="H48" s="3" t="s">
        <v>25</v>
      </c>
      <c r="I48" s="3" t="s">
        <v>26</v>
      </c>
      <c r="J48" s="4" t="s">
        <v>151</v>
      </c>
      <c r="K48" s="3" t="s">
        <v>85</v>
      </c>
      <c r="L48" s="3" t="s">
        <v>29</v>
      </c>
      <c r="M48" s="3"/>
      <c r="N48" s="5"/>
      <c r="O48" s="3"/>
      <c r="P48" s="3"/>
      <c r="Q48" s="4"/>
      <c r="R48" s="3"/>
      <c r="S48" s="3"/>
    </row>
    <row r="49" customFormat="false" ht="15" hidden="false" customHeight="true" outlineLevel="0" collapsed="false">
      <c r="A49" s="3" t="n">
        <v>48</v>
      </c>
      <c r="B49" s="4" t="s">
        <v>152</v>
      </c>
      <c r="C49" s="3" t="s">
        <v>135</v>
      </c>
      <c r="D49" s="3" t="s">
        <v>61</v>
      </c>
      <c r="E49" s="3" t="s">
        <v>48</v>
      </c>
      <c r="F49" s="3" t="s">
        <v>23</v>
      </c>
      <c r="G49" s="3" t="s">
        <v>24</v>
      </c>
      <c r="H49" s="3" t="s">
        <v>25</v>
      </c>
      <c r="I49" s="3" t="s">
        <v>33</v>
      </c>
      <c r="J49" s="4" t="s">
        <v>153</v>
      </c>
      <c r="K49" s="3" t="s">
        <v>85</v>
      </c>
      <c r="L49" s="3" t="s">
        <v>29</v>
      </c>
      <c r="M49" s="3"/>
      <c r="N49" s="5"/>
      <c r="O49" s="3"/>
      <c r="P49" s="3"/>
      <c r="Q49" s="4"/>
      <c r="R49" s="3"/>
      <c r="S49" s="3"/>
    </row>
    <row r="50" customFormat="false" ht="15" hidden="false" customHeight="true" outlineLevel="0" collapsed="false">
      <c r="A50" s="3" t="n">
        <v>49</v>
      </c>
      <c r="B50" s="4" t="s">
        <v>154</v>
      </c>
      <c r="C50" s="3" t="s">
        <v>135</v>
      </c>
      <c r="D50" s="3" t="s">
        <v>66</v>
      </c>
      <c r="E50" s="3" t="s">
        <v>48</v>
      </c>
      <c r="F50" s="3" t="s">
        <v>56</v>
      </c>
      <c r="G50" s="3" t="s">
        <v>24</v>
      </c>
      <c r="H50" s="3" t="s">
        <v>62</v>
      </c>
      <c r="I50" s="3" t="s">
        <v>26</v>
      </c>
      <c r="J50" s="4" t="s">
        <v>155</v>
      </c>
      <c r="K50" s="3" t="s">
        <v>28</v>
      </c>
      <c r="L50" s="3" t="s">
        <v>29</v>
      </c>
      <c r="M50" s="3"/>
      <c r="N50" s="5"/>
      <c r="O50" s="3"/>
      <c r="P50" s="3"/>
      <c r="Q50" s="4"/>
      <c r="R50" s="3"/>
      <c r="S50" s="3"/>
    </row>
    <row r="51" customFormat="false" ht="15" hidden="false" customHeight="true" outlineLevel="0" collapsed="false">
      <c r="A51" s="3" t="n">
        <v>50</v>
      </c>
      <c r="B51" s="4" t="s">
        <v>156</v>
      </c>
      <c r="C51" s="3" t="s">
        <v>157</v>
      </c>
      <c r="D51" s="3" t="s">
        <v>37</v>
      </c>
      <c r="E51" s="3" t="s">
        <v>22</v>
      </c>
      <c r="F51" s="3" t="s">
        <v>53</v>
      </c>
      <c r="G51" s="3" t="s">
        <v>24</v>
      </c>
      <c r="H51" s="3" t="s">
        <v>49</v>
      </c>
      <c r="I51" s="3" t="s">
        <v>50</v>
      </c>
      <c r="J51" s="4" t="s">
        <v>158</v>
      </c>
      <c r="K51" s="3" t="s">
        <v>28</v>
      </c>
      <c r="L51" s="3" t="s">
        <v>29</v>
      </c>
      <c r="M51" s="3"/>
      <c r="N51" s="5"/>
      <c r="O51" s="3"/>
      <c r="P51" s="3"/>
      <c r="Q51" s="4"/>
      <c r="R51" s="3"/>
      <c r="S51" s="3"/>
    </row>
    <row r="52" customFormat="false" ht="15" hidden="false" customHeight="true" outlineLevel="0" collapsed="false">
      <c r="A52" s="3" t="n">
        <v>51</v>
      </c>
      <c r="B52" s="4" t="s">
        <v>159</v>
      </c>
      <c r="C52" s="3" t="s">
        <v>157</v>
      </c>
      <c r="D52" s="3" t="s">
        <v>37</v>
      </c>
      <c r="E52" s="3" t="s">
        <v>48</v>
      </c>
      <c r="F52" s="3" t="s">
        <v>23</v>
      </c>
      <c r="G52" s="3" t="s">
        <v>24</v>
      </c>
      <c r="H52" s="3" t="s">
        <v>62</v>
      </c>
      <c r="I52" s="3" t="s">
        <v>26</v>
      </c>
      <c r="J52" s="4" t="s">
        <v>160</v>
      </c>
      <c r="K52" s="3" t="s">
        <v>85</v>
      </c>
      <c r="L52" s="3" t="s">
        <v>29</v>
      </c>
      <c r="M52" s="3"/>
      <c r="N52" s="5"/>
      <c r="O52" s="3"/>
      <c r="P52" s="3"/>
      <c r="Q52" s="4"/>
      <c r="R52" s="3"/>
      <c r="S52" s="3"/>
    </row>
    <row r="53" customFormat="false" ht="15" hidden="false" customHeight="true" outlineLevel="0" collapsed="false">
      <c r="A53" s="3" t="n">
        <v>52</v>
      </c>
      <c r="B53" s="4" t="s">
        <v>161</v>
      </c>
      <c r="C53" s="3" t="s">
        <v>157</v>
      </c>
      <c r="D53" s="3" t="s">
        <v>61</v>
      </c>
      <c r="E53" s="3" t="s">
        <v>48</v>
      </c>
      <c r="F53" s="3" t="s">
        <v>53</v>
      </c>
      <c r="G53" s="3" t="s">
        <v>32</v>
      </c>
      <c r="H53" s="3" t="s">
        <v>49</v>
      </c>
      <c r="I53" s="3" t="s">
        <v>26</v>
      </c>
      <c r="J53" s="4" t="s">
        <v>162</v>
      </c>
      <c r="K53" s="3" t="s">
        <v>28</v>
      </c>
      <c r="L53" s="3" t="s">
        <v>29</v>
      </c>
      <c r="M53" s="3"/>
      <c r="N53" s="5"/>
      <c r="O53" s="3"/>
      <c r="P53" s="3"/>
      <c r="Q53" s="4"/>
      <c r="R53" s="3"/>
      <c r="S53" s="3"/>
    </row>
    <row r="54" customFormat="false" ht="15" hidden="false" customHeight="true" outlineLevel="0" collapsed="false">
      <c r="A54" s="3" t="n">
        <v>53</v>
      </c>
      <c r="B54" s="4" t="s">
        <v>163</v>
      </c>
      <c r="C54" s="3" t="s">
        <v>157</v>
      </c>
      <c r="D54" s="3" t="s">
        <v>61</v>
      </c>
      <c r="E54" s="3" t="s">
        <v>48</v>
      </c>
      <c r="F54" s="3" t="s">
        <v>53</v>
      </c>
      <c r="G54" s="3" t="s">
        <v>24</v>
      </c>
      <c r="H54" s="3" t="s">
        <v>49</v>
      </c>
      <c r="I54" s="3" t="s">
        <v>50</v>
      </c>
      <c r="J54" s="4" t="s">
        <v>164</v>
      </c>
      <c r="K54" s="3" t="s">
        <v>85</v>
      </c>
      <c r="L54" s="3" t="s">
        <v>29</v>
      </c>
      <c r="M54" s="3"/>
      <c r="N54" s="5"/>
      <c r="O54" s="3"/>
      <c r="P54" s="3"/>
      <c r="Q54" s="4"/>
      <c r="R54" s="3"/>
      <c r="S54" s="3"/>
    </row>
    <row r="55" customFormat="false" ht="15" hidden="false" customHeight="true" outlineLevel="0" collapsed="false">
      <c r="A55" s="3" t="n">
        <v>54</v>
      </c>
      <c r="B55" s="4" t="s">
        <v>165</v>
      </c>
      <c r="C55" s="3" t="s">
        <v>157</v>
      </c>
      <c r="D55" s="3" t="s">
        <v>61</v>
      </c>
      <c r="E55" s="3" t="s">
        <v>48</v>
      </c>
      <c r="F55" s="3" t="s">
        <v>31</v>
      </c>
      <c r="G55" s="3" t="s">
        <v>32</v>
      </c>
      <c r="H55" s="3" t="s">
        <v>25</v>
      </c>
      <c r="I55" s="3" t="s">
        <v>26</v>
      </c>
      <c r="J55" s="4" t="s">
        <v>166</v>
      </c>
      <c r="K55" s="3" t="s">
        <v>85</v>
      </c>
      <c r="L55" s="3" t="s">
        <v>29</v>
      </c>
      <c r="M55" s="3"/>
      <c r="N55" s="5"/>
      <c r="O55" s="3"/>
      <c r="P55" s="3"/>
      <c r="Q55" s="4"/>
      <c r="R55" s="3"/>
      <c r="S55" s="3"/>
    </row>
    <row r="56" customFormat="false" ht="15" hidden="false" customHeight="true" outlineLevel="0" collapsed="false">
      <c r="A56" s="3" t="n">
        <v>55</v>
      </c>
      <c r="B56" s="4" t="s">
        <v>167</v>
      </c>
      <c r="C56" s="3" t="s">
        <v>168</v>
      </c>
      <c r="D56" s="3" t="s">
        <v>61</v>
      </c>
      <c r="E56" s="3" t="s">
        <v>169</v>
      </c>
      <c r="F56" s="3" t="s">
        <v>146</v>
      </c>
      <c r="G56" s="3" t="s">
        <v>32</v>
      </c>
      <c r="H56" s="3" t="s">
        <v>25</v>
      </c>
      <c r="I56" s="3" t="s">
        <v>33</v>
      </c>
      <c r="J56" s="4" t="s">
        <v>170</v>
      </c>
      <c r="K56" s="3" t="s">
        <v>85</v>
      </c>
      <c r="L56" s="3" t="s">
        <v>29</v>
      </c>
      <c r="M56" s="3"/>
      <c r="N56" s="5"/>
      <c r="O56" s="3"/>
      <c r="P56" s="3"/>
      <c r="Q56" s="4"/>
      <c r="R56" s="3"/>
      <c r="S56" s="3"/>
    </row>
    <row r="57" customFormat="false" ht="15" hidden="false" customHeight="true" outlineLevel="0" collapsed="false">
      <c r="A57" s="3" t="n">
        <v>56</v>
      </c>
      <c r="B57" s="4" t="s">
        <v>171</v>
      </c>
      <c r="C57" s="3" t="s">
        <v>168</v>
      </c>
      <c r="D57" s="3" t="s">
        <v>37</v>
      </c>
      <c r="E57" s="3" t="s">
        <v>169</v>
      </c>
      <c r="F57" s="3" t="s">
        <v>31</v>
      </c>
      <c r="G57" s="3" t="s">
        <v>32</v>
      </c>
      <c r="H57" s="3" t="s">
        <v>25</v>
      </c>
      <c r="I57" s="3" t="s">
        <v>26</v>
      </c>
      <c r="J57" s="4" t="s">
        <v>172</v>
      </c>
      <c r="K57" s="3" t="s">
        <v>28</v>
      </c>
      <c r="L57" s="3" t="s">
        <v>29</v>
      </c>
      <c r="M57" s="3"/>
      <c r="N57" s="5"/>
      <c r="O57" s="3"/>
      <c r="P57" s="3"/>
      <c r="Q57" s="4"/>
      <c r="R57" s="3"/>
      <c r="S57" s="3"/>
    </row>
    <row r="58" customFormat="false" ht="15" hidden="false" customHeight="true" outlineLevel="0" collapsed="false">
      <c r="A58" s="3" t="n">
        <v>57</v>
      </c>
      <c r="B58" s="4" t="s">
        <v>173</v>
      </c>
      <c r="C58" s="3" t="s">
        <v>168</v>
      </c>
      <c r="D58" s="3" t="s">
        <v>66</v>
      </c>
      <c r="E58" s="3" t="s">
        <v>169</v>
      </c>
      <c r="F58" s="3" t="s">
        <v>53</v>
      </c>
      <c r="G58" s="3" t="s">
        <v>32</v>
      </c>
      <c r="H58" s="3" t="s">
        <v>62</v>
      </c>
      <c r="I58" s="3" t="s">
        <v>33</v>
      </c>
      <c r="J58" s="4" t="s">
        <v>174</v>
      </c>
      <c r="K58" s="3" t="s">
        <v>85</v>
      </c>
      <c r="L58" s="3" t="s">
        <v>29</v>
      </c>
      <c r="M58" s="3"/>
      <c r="N58" s="5"/>
      <c r="O58" s="3"/>
      <c r="P58" s="3"/>
      <c r="Q58" s="4"/>
      <c r="R58" s="3"/>
      <c r="S58" s="3"/>
    </row>
    <row r="59" customFormat="false" ht="15" hidden="false" customHeight="true" outlineLevel="0" collapsed="false">
      <c r="A59" s="3" t="n">
        <v>58</v>
      </c>
      <c r="B59" s="4" t="s">
        <v>175</v>
      </c>
      <c r="C59" s="3" t="s">
        <v>168</v>
      </c>
      <c r="D59" s="3" t="s">
        <v>37</v>
      </c>
      <c r="E59" s="3" t="s">
        <v>169</v>
      </c>
      <c r="F59" s="3" t="s">
        <v>31</v>
      </c>
      <c r="G59" s="3" t="s">
        <v>32</v>
      </c>
      <c r="H59" s="3" t="s">
        <v>25</v>
      </c>
      <c r="I59" s="3" t="s">
        <v>26</v>
      </c>
      <c r="J59" s="4" t="s">
        <v>176</v>
      </c>
      <c r="K59" s="3" t="s">
        <v>39</v>
      </c>
      <c r="L59" s="3" t="s">
        <v>29</v>
      </c>
      <c r="M59" s="3"/>
      <c r="N59" s="5"/>
      <c r="O59" s="3"/>
      <c r="P59" s="3"/>
      <c r="Q59" s="4"/>
      <c r="R59" s="3"/>
      <c r="S59" s="3"/>
    </row>
    <row r="60" customFormat="false" ht="15" hidden="false" customHeight="true" outlineLevel="0" collapsed="false">
      <c r="A60" s="3" t="n">
        <v>59</v>
      </c>
      <c r="B60" s="4" t="s">
        <v>177</v>
      </c>
      <c r="C60" s="3" t="s">
        <v>168</v>
      </c>
      <c r="D60" s="3" t="s">
        <v>66</v>
      </c>
      <c r="E60" s="3" t="s">
        <v>169</v>
      </c>
      <c r="F60" s="3" t="s">
        <v>56</v>
      </c>
      <c r="G60" s="3" t="s">
        <v>24</v>
      </c>
      <c r="H60" s="3" t="s">
        <v>62</v>
      </c>
      <c r="I60" s="3" t="s">
        <v>33</v>
      </c>
      <c r="J60" s="4" t="s">
        <v>178</v>
      </c>
      <c r="K60" s="3" t="s">
        <v>179</v>
      </c>
      <c r="L60" s="3" t="s">
        <v>29</v>
      </c>
      <c r="M60" s="3"/>
      <c r="N60" s="5"/>
      <c r="O60" s="3"/>
      <c r="P60" s="3"/>
      <c r="Q60" s="4"/>
      <c r="R60" s="3"/>
      <c r="S60" s="3"/>
    </row>
    <row r="61" customFormat="false" ht="15" hidden="false" customHeight="true" outlineLevel="0" collapsed="false">
      <c r="A61" s="3" t="n">
        <v>60</v>
      </c>
      <c r="B61" s="4" t="s">
        <v>180</v>
      </c>
      <c r="C61" s="3" t="s">
        <v>168</v>
      </c>
      <c r="D61" s="3" t="s">
        <v>61</v>
      </c>
      <c r="E61" s="3" t="s">
        <v>169</v>
      </c>
      <c r="F61" s="3" t="s">
        <v>53</v>
      </c>
      <c r="G61" s="3" t="s">
        <v>32</v>
      </c>
      <c r="H61" s="3" t="s">
        <v>62</v>
      </c>
      <c r="I61" s="3" t="s">
        <v>26</v>
      </c>
      <c r="J61" s="4" t="s">
        <v>181</v>
      </c>
      <c r="K61" s="3" t="s">
        <v>28</v>
      </c>
      <c r="L61" s="3" t="s">
        <v>29</v>
      </c>
      <c r="M61" s="3"/>
      <c r="N61" s="5"/>
      <c r="O61" s="3"/>
      <c r="P61" s="3"/>
      <c r="Q61" s="4"/>
      <c r="R61" s="3"/>
      <c r="S61" s="3"/>
    </row>
    <row r="62" customFormat="false" ht="15" hidden="false" customHeight="true" outlineLevel="0" collapsed="false">
      <c r="A62" s="3" t="n">
        <v>61</v>
      </c>
      <c r="B62" s="4" t="s">
        <v>182</v>
      </c>
      <c r="C62" s="3" t="s">
        <v>168</v>
      </c>
      <c r="D62" s="3" t="s">
        <v>81</v>
      </c>
      <c r="E62" s="3" t="s">
        <v>169</v>
      </c>
      <c r="F62" s="3" t="s">
        <v>31</v>
      </c>
      <c r="G62" s="3" t="s">
        <v>32</v>
      </c>
      <c r="H62" s="3" t="s">
        <v>25</v>
      </c>
      <c r="I62" s="3" t="s">
        <v>26</v>
      </c>
      <c r="J62" s="4" t="s">
        <v>183</v>
      </c>
      <c r="K62" s="3" t="s">
        <v>85</v>
      </c>
      <c r="L62" s="3" t="s">
        <v>29</v>
      </c>
      <c r="M62" s="3"/>
      <c r="N62" s="5"/>
      <c r="O62" s="3"/>
      <c r="P62" s="3"/>
      <c r="Q62" s="4"/>
      <c r="R62" s="3"/>
      <c r="S62" s="3"/>
    </row>
    <row r="63" customFormat="false" ht="15" hidden="false" customHeight="true" outlineLevel="0" collapsed="false">
      <c r="A63" s="3" t="n">
        <v>62</v>
      </c>
      <c r="B63" s="4" t="s">
        <v>184</v>
      </c>
      <c r="C63" s="3" t="s">
        <v>168</v>
      </c>
      <c r="D63" s="3" t="s">
        <v>61</v>
      </c>
      <c r="E63" s="3" t="s">
        <v>169</v>
      </c>
      <c r="F63" s="3" t="s">
        <v>53</v>
      </c>
      <c r="G63" s="3" t="s">
        <v>32</v>
      </c>
      <c r="H63" s="3" t="s">
        <v>49</v>
      </c>
      <c r="I63" s="3" t="s">
        <v>33</v>
      </c>
      <c r="J63" s="4" t="s">
        <v>185</v>
      </c>
      <c r="K63" s="3" t="s">
        <v>186</v>
      </c>
      <c r="L63" s="3" t="s">
        <v>29</v>
      </c>
      <c r="M63" s="3"/>
      <c r="N63" s="5"/>
      <c r="O63" s="3"/>
      <c r="P63" s="3"/>
      <c r="Q63" s="4"/>
      <c r="R63" s="3"/>
      <c r="S63" s="3"/>
    </row>
    <row r="64" customFormat="false" ht="15" hidden="false" customHeight="true" outlineLevel="0" collapsed="false">
      <c r="A64" s="3" t="n">
        <v>63</v>
      </c>
      <c r="B64" s="4" t="s">
        <v>187</v>
      </c>
      <c r="C64" s="3" t="s">
        <v>168</v>
      </c>
      <c r="D64" s="3" t="s">
        <v>37</v>
      </c>
      <c r="E64" s="3" t="s">
        <v>169</v>
      </c>
      <c r="F64" s="3" t="s">
        <v>23</v>
      </c>
      <c r="G64" s="3" t="s">
        <v>24</v>
      </c>
      <c r="H64" s="3" t="s">
        <v>25</v>
      </c>
      <c r="I64" s="3" t="s">
        <v>50</v>
      </c>
      <c r="J64" s="4" t="s">
        <v>188</v>
      </c>
      <c r="K64" s="3" t="s">
        <v>85</v>
      </c>
      <c r="L64" s="3" t="s">
        <v>29</v>
      </c>
      <c r="M64" s="3"/>
      <c r="N64" s="5"/>
      <c r="O64" s="3"/>
      <c r="P64" s="3"/>
      <c r="Q64" s="4"/>
      <c r="R64" s="3"/>
      <c r="S64" s="3"/>
    </row>
    <row r="65" customFormat="false" ht="15" hidden="false" customHeight="true" outlineLevel="0" collapsed="false">
      <c r="A65" s="3" t="n">
        <v>64</v>
      </c>
      <c r="B65" s="4" t="s">
        <v>189</v>
      </c>
      <c r="C65" s="3" t="s">
        <v>190</v>
      </c>
      <c r="D65" s="3" t="s">
        <v>61</v>
      </c>
      <c r="E65" s="3" t="s">
        <v>45</v>
      </c>
      <c r="F65" s="3" t="s">
        <v>53</v>
      </c>
      <c r="G65" s="3" t="s">
        <v>24</v>
      </c>
      <c r="H65" s="3" t="s">
        <v>25</v>
      </c>
      <c r="I65" s="3" t="s">
        <v>33</v>
      </c>
      <c r="J65" s="4" t="s">
        <v>191</v>
      </c>
      <c r="K65" s="3" t="s">
        <v>28</v>
      </c>
      <c r="L65" s="3" t="s">
        <v>29</v>
      </c>
      <c r="M65" s="3"/>
      <c r="N65" s="5"/>
      <c r="O65" s="3"/>
      <c r="P65" s="3"/>
      <c r="Q65" s="4"/>
      <c r="R65" s="3"/>
      <c r="S65" s="3"/>
    </row>
    <row r="66" customFormat="false" ht="15" hidden="false" customHeight="true" outlineLevel="0" collapsed="false">
      <c r="A66" s="3" t="n">
        <v>65</v>
      </c>
      <c r="B66" s="4" t="s">
        <v>192</v>
      </c>
      <c r="C66" s="3" t="s">
        <v>190</v>
      </c>
      <c r="D66" s="3" t="s">
        <v>61</v>
      </c>
      <c r="E66" s="3" t="s">
        <v>45</v>
      </c>
      <c r="F66" s="3" t="s">
        <v>53</v>
      </c>
      <c r="G66" s="3" t="s">
        <v>32</v>
      </c>
      <c r="H66" s="3" t="s">
        <v>49</v>
      </c>
      <c r="I66" s="3" t="s">
        <v>26</v>
      </c>
      <c r="J66" s="4" t="s">
        <v>193</v>
      </c>
      <c r="K66" s="3" t="s">
        <v>85</v>
      </c>
      <c r="L66" s="3" t="s">
        <v>29</v>
      </c>
      <c r="M66" s="3"/>
      <c r="N66" s="5"/>
      <c r="O66" s="3"/>
      <c r="P66" s="3"/>
      <c r="Q66" s="4"/>
      <c r="R66" s="3"/>
      <c r="S66" s="3"/>
    </row>
    <row r="67" customFormat="false" ht="15" hidden="false" customHeight="true" outlineLevel="0" collapsed="false">
      <c r="A67" s="3" t="n">
        <v>66</v>
      </c>
      <c r="B67" s="4" t="s">
        <v>194</v>
      </c>
      <c r="C67" s="3" t="s">
        <v>190</v>
      </c>
      <c r="D67" s="3" t="s">
        <v>77</v>
      </c>
      <c r="E67" s="3" t="s">
        <v>45</v>
      </c>
      <c r="F67" s="3" t="s">
        <v>53</v>
      </c>
      <c r="G67" s="3" t="s">
        <v>32</v>
      </c>
      <c r="H67" s="3" t="s">
        <v>25</v>
      </c>
      <c r="I67" s="3" t="s">
        <v>26</v>
      </c>
      <c r="J67" s="4" t="s">
        <v>195</v>
      </c>
      <c r="K67" s="3" t="s">
        <v>196</v>
      </c>
      <c r="L67" s="3" t="s">
        <v>29</v>
      </c>
      <c r="M67" s="3"/>
      <c r="N67" s="5"/>
      <c r="O67" s="3"/>
      <c r="P67" s="3"/>
      <c r="Q67" s="4"/>
      <c r="R67" s="3"/>
      <c r="S67" s="3"/>
    </row>
    <row r="68" customFormat="false" ht="15" hidden="false" customHeight="true" outlineLevel="0" collapsed="false">
      <c r="A68" s="3" t="n">
        <v>67</v>
      </c>
      <c r="B68" s="4" t="s">
        <v>197</v>
      </c>
      <c r="C68" s="3" t="s">
        <v>190</v>
      </c>
      <c r="D68" s="3" t="s">
        <v>66</v>
      </c>
      <c r="E68" s="3" t="s">
        <v>45</v>
      </c>
      <c r="F68" s="3" t="s">
        <v>56</v>
      </c>
      <c r="G68" s="3" t="s">
        <v>32</v>
      </c>
      <c r="H68" s="3" t="s">
        <v>198</v>
      </c>
      <c r="I68" s="3" t="s">
        <v>26</v>
      </c>
      <c r="J68" s="4" t="s">
        <v>199</v>
      </c>
      <c r="K68" s="3" t="s">
        <v>85</v>
      </c>
      <c r="L68" s="3" t="s">
        <v>29</v>
      </c>
      <c r="M68" s="3"/>
      <c r="N68" s="5"/>
      <c r="O68" s="3"/>
      <c r="P68" s="3"/>
      <c r="Q68" s="4"/>
      <c r="R68" s="3"/>
      <c r="S68" s="3"/>
    </row>
    <row r="69" customFormat="false" ht="15" hidden="false" customHeight="true" outlineLevel="0" collapsed="false">
      <c r="A69" s="3" t="n">
        <v>68</v>
      </c>
      <c r="B69" s="4" t="s">
        <v>200</v>
      </c>
      <c r="C69" s="3" t="s">
        <v>190</v>
      </c>
      <c r="D69" s="3" t="s">
        <v>61</v>
      </c>
      <c r="E69" s="3" t="s">
        <v>45</v>
      </c>
      <c r="F69" s="3" t="s">
        <v>53</v>
      </c>
      <c r="G69" s="3" t="s">
        <v>24</v>
      </c>
      <c r="H69" s="3" t="s">
        <v>49</v>
      </c>
      <c r="I69" s="3" t="s">
        <v>26</v>
      </c>
      <c r="J69" s="4" t="s">
        <v>201</v>
      </c>
      <c r="K69" s="3" t="s">
        <v>28</v>
      </c>
      <c r="L69" s="3" t="s">
        <v>29</v>
      </c>
      <c r="M69" s="3"/>
      <c r="N69" s="5"/>
      <c r="O69" s="3"/>
      <c r="P69" s="3"/>
      <c r="Q69" s="4"/>
      <c r="R69" s="3"/>
      <c r="S69" s="3"/>
    </row>
    <row r="70" customFormat="false" ht="15" hidden="false" customHeight="true" outlineLevel="0" collapsed="false">
      <c r="A70" s="3" t="n">
        <v>69</v>
      </c>
      <c r="B70" s="4" t="s">
        <v>202</v>
      </c>
      <c r="C70" s="3" t="s">
        <v>203</v>
      </c>
      <c r="D70" s="3" t="s">
        <v>127</v>
      </c>
      <c r="E70" s="3" t="s">
        <v>169</v>
      </c>
      <c r="F70" s="3" t="s">
        <v>31</v>
      </c>
      <c r="G70" s="3" t="s">
        <v>32</v>
      </c>
      <c r="H70" s="3" t="s">
        <v>25</v>
      </c>
      <c r="I70" s="3" t="s">
        <v>33</v>
      </c>
      <c r="J70" s="4" t="s">
        <v>204</v>
      </c>
      <c r="K70" s="3" t="s">
        <v>205</v>
      </c>
      <c r="L70" s="3" t="s">
        <v>29</v>
      </c>
      <c r="M70" s="3"/>
      <c r="N70" s="5"/>
      <c r="O70" s="3"/>
      <c r="P70" s="3"/>
      <c r="Q70" s="4"/>
      <c r="R70" s="3"/>
      <c r="S70" s="3"/>
    </row>
    <row r="71" customFormat="false" ht="15" hidden="false" customHeight="true" outlineLevel="0" collapsed="false">
      <c r="A71" s="3" t="n">
        <v>70</v>
      </c>
      <c r="B71" s="4" t="s">
        <v>206</v>
      </c>
      <c r="C71" s="3" t="s">
        <v>203</v>
      </c>
      <c r="D71" s="3" t="s">
        <v>127</v>
      </c>
      <c r="E71" s="3" t="s">
        <v>22</v>
      </c>
      <c r="F71" s="3" t="s">
        <v>31</v>
      </c>
      <c r="G71" s="3" t="s">
        <v>32</v>
      </c>
      <c r="H71" s="3" t="s">
        <v>25</v>
      </c>
      <c r="I71" s="3" t="s">
        <v>33</v>
      </c>
      <c r="J71" s="4" t="s">
        <v>207</v>
      </c>
      <c r="K71" s="3" t="s">
        <v>208</v>
      </c>
      <c r="L71" s="3" t="s">
        <v>29</v>
      </c>
      <c r="M71" s="3"/>
      <c r="N71" s="5"/>
      <c r="O71" s="3"/>
      <c r="P71" s="3"/>
      <c r="Q71" s="4"/>
      <c r="R71" s="3"/>
      <c r="S71" s="3"/>
    </row>
    <row r="72" customFormat="false" ht="15" hidden="false" customHeight="true" outlineLevel="0" collapsed="false">
      <c r="A72" s="3" t="n">
        <v>71</v>
      </c>
      <c r="B72" s="4" t="s">
        <v>209</v>
      </c>
      <c r="C72" s="3" t="s">
        <v>203</v>
      </c>
      <c r="D72" s="3" t="s">
        <v>127</v>
      </c>
      <c r="E72" s="3" t="s">
        <v>48</v>
      </c>
      <c r="F72" s="3" t="s">
        <v>31</v>
      </c>
      <c r="G72" s="3" t="s">
        <v>32</v>
      </c>
      <c r="H72" s="3" t="s">
        <v>25</v>
      </c>
      <c r="I72" s="3" t="s">
        <v>26</v>
      </c>
      <c r="J72" s="4" t="s">
        <v>210</v>
      </c>
      <c r="K72" s="3" t="s">
        <v>64</v>
      </c>
      <c r="L72" s="3" t="s">
        <v>29</v>
      </c>
      <c r="M72" s="3"/>
      <c r="N72" s="5"/>
      <c r="O72" s="3"/>
      <c r="P72" s="3"/>
      <c r="Q72" s="4"/>
      <c r="R72" s="3"/>
      <c r="S72" s="3"/>
    </row>
    <row r="73" customFormat="false" ht="15" hidden="false" customHeight="true" outlineLevel="0" collapsed="false">
      <c r="A73" s="3" t="n">
        <v>72</v>
      </c>
      <c r="B73" s="4" t="s">
        <v>211</v>
      </c>
      <c r="C73" s="3" t="s">
        <v>203</v>
      </c>
      <c r="D73" s="3" t="s">
        <v>127</v>
      </c>
      <c r="E73" s="3" t="s">
        <v>48</v>
      </c>
      <c r="F73" s="3" t="s">
        <v>31</v>
      </c>
      <c r="G73" s="3" t="s">
        <v>32</v>
      </c>
      <c r="H73" s="3" t="s">
        <v>25</v>
      </c>
      <c r="I73" s="3" t="s">
        <v>26</v>
      </c>
      <c r="J73" s="4" t="s">
        <v>212</v>
      </c>
      <c r="K73" s="3" t="s">
        <v>64</v>
      </c>
      <c r="L73" s="3" t="s">
        <v>29</v>
      </c>
      <c r="M73" s="3"/>
      <c r="N73" s="5"/>
      <c r="O73" s="3"/>
      <c r="P73" s="3"/>
      <c r="Q73" s="4"/>
      <c r="R73" s="3"/>
      <c r="S73" s="3"/>
    </row>
    <row r="74" customFormat="false" ht="15" hidden="false" customHeight="true" outlineLevel="0" collapsed="false">
      <c r="A74" s="3" t="n">
        <v>73</v>
      </c>
      <c r="B74" s="4" t="s">
        <v>213</v>
      </c>
      <c r="C74" s="3" t="s">
        <v>203</v>
      </c>
      <c r="D74" s="3" t="s">
        <v>127</v>
      </c>
      <c r="E74" s="3" t="s">
        <v>48</v>
      </c>
      <c r="F74" s="3" t="s">
        <v>31</v>
      </c>
      <c r="G74" s="3" t="s">
        <v>32</v>
      </c>
      <c r="H74" s="3" t="s">
        <v>25</v>
      </c>
      <c r="I74" s="3" t="s">
        <v>26</v>
      </c>
      <c r="J74" s="4" t="s">
        <v>214</v>
      </c>
      <c r="K74" s="3" t="s">
        <v>64</v>
      </c>
      <c r="L74" s="3" t="s">
        <v>29</v>
      </c>
      <c r="M74" s="3"/>
      <c r="N74" s="5"/>
      <c r="O74" s="3"/>
      <c r="P74" s="3"/>
      <c r="Q74" s="4"/>
      <c r="R74" s="3"/>
      <c r="S74" s="3"/>
    </row>
    <row r="75" customFormat="false" ht="15" hidden="false" customHeight="true" outlineLevel="0" collapsed="false">
      <c r="A75" s="3" t="n">
        <v>74</v>
      </c>
      <c r="B75" s="4" t="s">
        <v>215</v>
      </c>
      <c r="C75" s="3" t="s">
        <v>203</v>
      </c>
      <c r="D75" s="3" t="s">
        <v>127</v>
      </c>
      <c r="E75" s="3" t="s">
        <v>22</v>
      </c>
      <c r="F75" s="3" t="s">
        <v>31</v>
      </c>
      <c r="G75" s="3" t="s">
        <v>32</v>
      </c>
      <c r="H75" s="3" t="s">
        <v>25</v>
      </c>
      <c r="I75" s="3" t="s">
        <v>26</v>
      </c>
      <c r="J75" s="4" t="s">
        <v>216</v>
      </c>
      <c r="K75" s="3" t="s">
        <v>64</v>
      </c>
      <c r="L75" s="3" t="s">
        <v>29</v>
      </c>
      <c r="M75" s="3"/>
      <c r="N75" s="5"/>
      <c r="O75" s="3"/>
      <c r="P75" s="3"/>
      <c r="Q75" s="4"/>
      <c r="R75" s="3"/>
      <c r="S75" s="3"/>
    </row>
    <row r="76" customFormat="false" ht="15" hidden="false" customHeight="true" outlineLevel="0" collapsed="false">
      <c r="A76" s="3" t="n">
        <v>75</v>
      </c>
      <c r="B76" s="4" t="s">
        <v>217</v>
      </c>
      <c r="C76" s="3" t="s">
        <v>203</v>
      </c>
      <c r="D76" s="3" t="s">
        <v>127</v>
      </c>
      <c r="E76" s="3" t="s">
        <v>48</v>
      </c>
      <c r="F76" s="3" t="s">
        <v>31</v>
      </c>
      <c r="G76" s="3" t="s">
        <v>32</v>
      </c>
      <c r="H76" s="3" t="s">
        <v>25</v>
      </c>
      <c r="I76" s="3" t="s">
        <v>50</v>
      </c>
      <c r="J76" s="4" t="s">
        <v>218</v>
      </c>
      <c r="K76" s="3" t="s">
        <v>64</v>
      </c>
      <c r="L76" s="3" t="s">
        <v>29</v>
      </c>
      <c r="M76" s="3"/>
      <c r="N76" s="5"/>
      <c r="O76" s="3"/>
      <c r="P76" s="3"/>
      <c r="Q76" s="4"/>
      <c r="R76" s="3"/>
      <c r="S76" s="3"/>
    </row>
    <row r="77" customFormat="false" ht="15" hidden="false" customHeight="true" outlineLevel="0" collapsed="false">
      <c r="A77" s="3" t="n">
        <v>76</v>
      </c>
      <c r="B77" s="4" t="s">
        <v>219</v>
      </c>
      <c r="C77" s="3" t="s">
        <v>203</v>
      </c>
      <c r="D77" s="3" t="s">
        <v>127</v>
      </c>
      <c r="E77" s="3" t="s">
        <v>22</v>
      </c>
      <c r="F77" s="3" t="s">
        <v>31</v>
      </c>
      <c r="G77" s="3" t="s">
        <v>32</v>
      </c>
      <c r="H77" s="3" t="s">
        <v>25</v>
      </c>
      <c r="I77" s="3" t="s">
        <v>26</v>
      </c>
      <c r="J77" s="4" t="s">
        <v>220</v>
      </c>
      <c r="K77" s="3" t="s">
        <v>64</v>
      </c>
      <c r="L77" s="3" t="s">
        <v>29</v>
      </c>
      <c r="M77" s="3"/>
      <c r="N77" s="5"/>
      <c r="O77" s="3"/>
      <c r="P77" s="3"/>
      <c r="Q77" s="4"/>
      <c r="R77" s="3"/>
      <c r="S77" s="3"/>
    </row>
    <row r="78" customFormat="false" ht="15" hidden="false" customHeight="true" outlineLevel="0" collapsed="false">
      <c r="A78" s="3" t="n">
        <v>77</v>
      </c>
      <c r="B78" s="4" t="s">
        <v>221</v>
      </c>
      <c r="C78" s="3" t="s">
        <v>203</v>
      </c>
      <c r="D78" s="3" t="s">
        <v>37</v>
      </c>
      <c r="E78" s="3" t="s">
        <v>48</v>
      </c>
      <c r="F78" s="3" t="s">
        <v>31</v>
      </c>
      <c r="G78" s="3" t="s">
        <v>32</v>
      </c>
      <c r="H78" s="3" t="s">
        <v>25</v>
      </c>
      <c r="I78" s="3" t="s">
        <v>50</v>
      </c>
      <c r="J78" s="4" t="s">
        <v>222</v>
      </c>
      <c r="K78" s="3" t="s">
        <v>28</v>
      </c>
      <c r="L78" s="3" t="s">
        <v>29</v>
      </c>
      <c r="M78" s="3"/>
      <c r="N78" s="5"/>
      <c r="O78" s="3"/>
      <c r="P78" s="3"/>
      <c r="Q78" s="4"/>
      <c r="R78" s="3"/>
      <c r="S78" s="3"/>
    </row>
    <row r="79" customFormat="false" ht="15" hidden="false" customHeight="true" outlineLevel="0" collapsed="false">
      <c r="A79" s="3" t="n">
        <v>78</v>
      </c>
      <c r="B79" s="4" t="s">
        <v>223</v>
      </c>
      <c r="C79" s="3" t="s">
        <v>203</v>
      </c>
      <c r="D79" s="3" t="s">
        <v>81</v>
      </c>
      <c r="E79" s="3" t="s">
        <v>48</v>
      </c>
      <c r="F79" s="3" t="s">
        <v>146</v>
      </c>
      <c r="G79" s="3" t="s">
        <v>32</v>
      </c>
      <c r="H79" s="3" t="s">
        <v>25</v>
      </c>
      <c r="I79" s="3" t="s">
        <v>33</v>
      </c>
      <c r="J79" s="4" t="s">
        <v>224</v>
      </c>
      <c r="K79" s="3" t="s">
        <v>28</v>
      </c>
      <c r="L79" s="3" t="s">
        <v>29</v>
      </c>
      <c r="M79" s="3"/>
      <c r="N79" s="5"/>
      <c r="O79" s="3"/>
      <c r="P79" s="3"/>
      <c r="Q79" s="4"/>
      <c r="R79" s="3"/>
      <c r="S79" s="3"/>
    </row>
    <row r="80" customFormat="false" ht="15" hidden="false" customHeight="true" outlineLevel="0" collapsed="false">
      <c r="A80" s="3" t="n">
        <v>79</v>
      </c>
      <c r="B80" s="4" t="s">
        <v>225</v>
      </c>
      <c r="C80" s="3" t="s">
        <v>226</v>
      </c>
      <c r="D80" s="3" t="s">
        <v>61</v>
      </c>
      <c r="E80" s="3" t="s">
        <v>22</v>
      </c>
      <c r="F80" s="3" t="s">
        <v>53</v>
      </c>
      <c r="G80" s="3" t="s">
        <v>24</v>
      </c>
      <c r="H80" s="3" t="s">
        <v>49</v>
      </c>
      <c r="I80" s="3" t="s">
        <v>33</v>
      </c>
      <c r="J80" s="4" t="s">
        <v>227</v>
      </c>
      <c r="K80" s="3" t="s">
        <v>85</v>
      </c>
      <c r="L80" s="3" t="s">
        <v>29</v>
      </c>
      <c r="M80" s="3"/>
      <c r="N80" s="5"/>
      <c r="O80" s="3"/>
      <c r="P80" s="3"/>
      <c r="Q80" s="4"/>
      <c r="R80" s="3"/>
      <c r="S80" s="3"/>
    </row>
    <row r="81" customFormat="false" ht="15" hidden="false" customHeight="true" outlineLevel="0" collapsed="false">
      <c r="A81" s="3" t="n">
        <v>80</v>
      </c>
      <c r="B81" s="4" t="s">
        <v>228</v>
      </c>
      <c r="C81" s="3" t="s">
        <v>226</v>
      </c>
      <c r="D81" s="3" t="s">
        <v>61</v>
      </c>
      <c r="E81" s="3" t="s">
        <v>48</v>
      </c>
      <c r="F81" s="3" t="s">
        <v>56</v>
      </c>
      <c r="G81" s="3" t="s">
        <v>24</v>
      </c>
      <c r="H81" s="3" t="s">
        <v>49</v>
      </c>
      <c r="I81" s="3" t="s">
        <v>26</v>
      </c>
      <c r="J81" s="4" t="s">
        <v>229</v>
      </c>
      <c r="K81" s="3" t="s">
        <v>85</v>
      </c>
      <c r="L81" s="3" t="s">
        <v>29</v>
      </c>
      <c r="M81" s="3"/>
      <c r="N81" s="5"/>
      <c r="O81" s="3"/>
      <c r="P81" s="3"/>
      <c r="Q81" s="4"/>
      <c r="R81" s="3"/>
      <c r="S81" s="3"/>
    </row>
    <row r="82" customFormat="false" ht="15" hidden="false" customHeight="true" outlineLevel="0" collapsed="false">
      <c r="A82" s="3" t="n">
        <v>81</v>
      </c>
      <c r="B82" s="4" t="s">
        <v>230</v>
      </c>
      <c r="C82" s="3" t="s">
        <v>226</v>
      </c>
      <c r="D82" s="3" t="s">
        <v>61</v>
      </c>
      <c r="E82" s="3" t="s">
        <v>22</v>
      </c>
      <c r="F82" s="3" t="s">
        <v>56</v>
      </c>
      <c r="G82" s="3" t="s">
        <v>24</v>
      </c>
      <c r="H82" s="3" t="s">
        <v>49</v>
      </c>
      <c r="I82" s="3" t="s">
        <v>26</v>
      </c>
      <c r="J82" s="4" t="s">
        <v>231</v>
      </c>
      <c r="K82" s="3" t="s">
        <v>28</v>
      </c>
      <c r="L82" s="3" t="s">
        <v>29</v>
      </c>
      <c r="M82" s="3"/>
      <c r="N82" s="5"/>
      <c r="O82" s="3"/>
      <c r="P82" s="3"/>
      <c r="Q82" s="4"/>
      <c r="R82" s="3"/>
      <c r="S82" s="3"/>
    </row>
    <row r="83" customFormat="false" ht="15" hidden="false" customHeight="true" outlineLevel="0" collapsed="false">
      <c r="A83" s="3" t="n">
        <v>82</v>
      </c>
      <c r="B83" s="4" t="s">
        <v>232</v>
      </c>
      <c r="C83" s="3" t="s">
        <v>226</v>
      </c>
      <c r="D83" s="3" t="s">
        <v>77</v>
      </c>
      <c r="E83" s="3" t="s">
        <v>48</v>
      </c>
      <c r="F83" s="3" t="s">
        <v>53</v>
      </c>
      <c r="G83" s="3" t="s">
        <v>32</v>
      </c>
      <c r="H83" s="3" t="s">
        <v>49</v>
      </c>
      <c r="I83" s="3" t="s">
        <v>26</v>
      </c>
      <c r="J83" s="4" t="s">
        <v>233</v>
      </c>
      <c r="K83" s="3" t="s">
        <v>28</v>
      </c>
      <c r="L83" s="3" t="s">
        <v>29</v>
      </c>
      <c r="M83" s="3"/>
      <c r="N83" s="5"/>
      <c r="O83" s="3"/>
      <c r="P83" s="3"/>
      <c r="Q83" s="4"/>
      <c r="R83" s="3"/>
      <c r="S83" s="3"/>
    </row>
    <row r="84" customFormat="false" ht="15" hidden="false" customHeight="true" outlineLevel="0" collapsed="false">
      <c r="A84" s="3" t="n">
        <v>83</v>
      </c>
      <c r="B84" s="4" t="s">
        <v>234</v>
      </c>
      <c r="C84" s="3" t="s">
        <v>226</v>
      </c>
      <c r="D84" s="3" t="s">
        <v>66</v>
      </c>
      <c r="E84" s="3" t="s">
        <v>22</v>
      </c>
      <c r="F84" s="3" t="s">
        <v>56</v>
      </c>
      <c r="G84" s="3" t="s">
        <v>32</v>
      </c>
      <c r="H84" s="3" t="s">
        <v>62</v>
      </c>
      <c r="I84" s="3" t="s">
        <v>26</v>
      </c>
      <c r="J84" s="4" t="s">
        <v>235</v>
      </c>
      <c r="K84" s="3" t="s">
        <v>28</v>
      </c>
      <c r="L84" s="3" t="s">
        <v>29</v>
      </c>
      <c r="M84" s="3"/>
      <c r="N84" s="5"/>
      <c r="O84" s="3"/>
      <c r="P84" s="3"/>
      <c r="Q84" s="4"/>
      <c r="R84" s="3"/>
      <c r="S84" s="3"/>
    </row>
    <row r="85" customFormat="false" ht="15" hidden="false" customHeight="true" outlineLevel="0" collapsed="false">
      <c r="A85" s="3" t="n">
        <v>84</v>
      </c>
      <c r="B85" s="4" t="s">
        <v>236</v>
      </c>
      <c r="C85" s="3" t="s">
        <v>226</v>
      </c>
      <c r="D85" s="3" t="s">
        <v>66</v>
      </c>
      <c r="E85" s="3" t="s">
        <v>48</v>
      </c>
      <c r="F85" s="3" t="s">
        <v>56</v>
      </c>
      <c r="G85" s="3" t="s">
        <v>32</v>
      </c>
      <c r="H85" s="3" t="s">
        <v>62</v>
      </c>
      <c r="I85" s="3" t="s">
        <v>33</v>
      </c>
      <c r="J85" s="4" t="s">
        <v>237</v>
      </c>
      <c r="K85" s="3" t="s">
        <v>28</v>
      </c>
      <c r="L85" s="3" t="s">
        <v>29</v>
      </c>
      <c r="M85" s="3"/>
      <c r="N85" s="5"/>
      <c r="O85" s="3"/>
      <c r="P85" s="3"/>
      <c r="Q85" s="4"/>
      <c r="R85" s="3"/>
      <c r="S85" s="3"/>
    </row>
    <row r="86" customFormat="false" ht="15" hidden="false" customHeight="true" outlineLevel="0" collapsed="false">
      <c r="A86" s="3" t="n">
        <v>85</v>
      </c>
      <c r="B86" s="4" t="s">
        <v>238</v>
      </c>
      <c r="C86" s="3" t="s">
        <v>226</v>
      </c>
      <c r="D86" s="3" t="s">
        <v>61</v>
      </c>
      <c r="E86" s="3" t="s">
        <v>48</v>
      </c>
      <c r="F86" s="3" t="s">
        <v>53</v>
      </c>
      <c r="G86" s="3" t="s">
        <v>24</v>
      </c>
      <c r="H86" s="3" t="s">
        <v>62</v>
      </c>
      <c r="I86" s="3" t="s">
        <v>50</v>
      </c>
      <c r="J86" s="4" t="s">
        <v>239</v>
      </c>
      <c r="K86" s="3" t="s">
        <v>28</v>
      </c>
      <c r="L86" s="3" t="s">
        <v>29</v>
      </c>
      <c r="M86" s="3"/>
      <c r="N86" s="5"/>
      <c r="O86" s="3"/>
      <c r="P86" s="3"/>
      <c r="Q86" s="4"/>
      <c r="R86" s="3"/>
      <c r="S86" s="3"/>
    </row>
    <row r="87" customFormat="false" ht="15" hidden="false" customHeight="true" outlineLevel="0" collapsed="false">
      <c r="A87" s="3" t="n">
        <v>86</v>
      </c>
      <c r="B87" s="4" t="s">
        <v>240</v>
      </c>
      <c r="C87" s="3" t="s">
        <v>226</v>
      </c>
      <c r="D87" s="3" t="s">
        <v>66</v>
      </c>
      <c r="E87" s="3" t="s">
        <v>48</v>
      </c>
      <c r="F87" s="3" t="s">
        <v>56</v>
      </c>
      <c r="G87" s="3" t="s">
        <v>24</v>
      </c>
      <c r="H87" s="3" t="s">
        <v>49</v>
      </c>
      <c r="I87" s="3" t="s">
        <v>26</v>
      </c>
      <c r="J87" s="4" t="s">
        <v>241</v>
      </c>
      <c r="K87" s="3" t="s">
        <v>85</v>
      </c>
      <c r="L87" s="3" t="s">
        <v>29</v>
      </c>
      <c r="M87" s="3"/>
      <c r="N87" s="5"/>
      <c r="O87" s="3"/>
      <c r="P87" s="3"/>
      <c r="Q87" s="4"/>
      <c r="R87" s="3"/>
      <c r="S87" s="3"/>
    </row>
    <row r="88" customFormat="false" ht="15" hidden="false" customHeight="true" outlineLevel="0" collapsed="false">
      <c r="A88" s="3" t="n">
        <v>87</v>
      </c>
      <c r="B88" s="4" t="s">
        <v>242</v>
      </c>
      <c r="C88" s="3" t="s">
        <v>243</v>
      </c>
      <c r="D88" s="3" t="s">
        <v>81</v>
      </c>
      <c r="E88" s="3" t="s">
        <v>48</v>
      </c>
      <c r="F88" s="3" t="s">
        <v>31</v>
      </c>
      <c r="G88" s="3" t="s">
        <v>32</v>
      </c>
      <c r="H88" s="3" t="s">
        <v>25</v>
      </c>
      <c r="I88" s="3" t="s">
        <v>33</v>
      </c>
      <c r="J88" s="4" t="s">
        <v>244</v>
      </c>
      <c r="K88" s="3" t="s">
        <v>28</v>
      </c>
      <c r="L88" s="3" t="s">
        <v>29</v>
      </c>
      <c r="M88" s="3"/>
      <c r="N88" s="5"/>
      <c r="O88" s="3"/>
      <c r="P88" s="3"/>
      <c r="Q88" s="4"/>
      <c r="R88" s="3"/>
      <c r="S88" s="3"/>
    </row>
    <row r="89" customFormat="false" ht="23.25" hidden="false" customHeight="true" outlineLevel="0" collapsed="false">
      <c r="A89" s="3" t="n">
        <v>88</v>
      </c>
      <c r="B89" s="4" t="s">
        <v>245</v>
      </c>
      <c r="C89" s="3" t="s">
        <v>243</v>
      </c>
      <c r="D89" s="3" t="s">
        <v>81</v>
      </c>
      <c r="E89" s="3" t="s">
        <v>48</v>
      </c>
      <c r="F89" s="3" t="s">
        <v>31</v>
      </c>
      <c r="G89" s="3" t="s">
        <v>32</v>
      </c>
      <c r="H89" s="3" t="s">
        <v>25</v>
      </c>
      <c r="I89" s="3" t="s">
        <v>33</v>
      </c>
      <c r="J89" s="4" t="s">
        <v>244</v>
      </c>
      <c r="K89" s="3" t="s">
        <v>95</v>
      </c>
      <c r="L89" s="3" t="s">
        <v>29</v>
      </c>
      <c r="M89" s="3"/>
      <c r="N89" s="5"/>
      <c r="O89" s="3"/>
      <c r="P89" s="3"/>
      <c r="Q89" s="4"/>
      <c r="R89" s="3"/>
      <c r="S89" s="3"/>
    </row>
    <row r="90" customFormat="false" ht="15" hidden="false" customHeight="true" outlineLevel="0" collapsed="false">
      <c r="A90" s="3" t="n">
        <v>89</v>
      </c>
      <c r="B90" s="4" t="s">
        <v>246</v>
      </c>
      <c r="C90" s="3" t="s">
        <v>243</v>
      </c>
      <c r="D90" s="3" t="s">
        <v>81</v>
      </c>
      <c r="E90" s="3" t="s">
        <v>22</v>
      </c>
      <c r="F90" s="3" t="s">
        <v>31</v>
      </c>
      <c r="G90" s="3" t="s">
        <v>32</v>
      </c>
      <c r="H90" s="3" t="s">
        <v>25</v>
      </c>
      <c r="I90" s="3" t="s">
        <v>50</v>
      </c>
      <c r="J90" s="4" t="s">
        <v>247</v>
      </c>
      <c r="K90" s="3" t="s">
        <v>85</v>
      </c>
      <c r="L90" s="3" t="s">
        <v>29</v>
      </c>
      <c r="M90" s="3"/>
      <c r="N90" s="5"/>
      <c r="O90" s="3"/>
      <c r="P90" s="3"/>
      <c r="Q90" s="4"/>
      <c r="R90" s="3"/>
      <c r="S90" s="3"/>
    </row>
    <row r="91" customFormat="false" ht="15" hidden="false" customHeight="true" outlineLevel="0" collapsed="false">
      <c r="A91" s="3" t="n">
        <v>90</v>
      </c>
      <c r="B91" s="4" t="s">
        <v>248</v>
      </c>
      <c r="C91" s="3" t="s">
        <v>243</v>
      </c>
      <c r="D91" s="3" t="s">
        <v>81</v>
      </c>
      <c r="E91" s="3" t="s">
        <v>48</v>
      </c>
      <c r="F91" s="3" t="s">
        <v>146</v>
      </c>
      <c r="G91" s="3" t="s">
        <v>32</v>
      </c>
      <c r="H91" s="3" t="s">
        <v>25</v>
      </c>
      <c r="I91" s="3" t="s">
        <v>33</v>
      </c>
      <c r="J91" s="4" t="s">
        <v>249</v>
      </c>
      <c r="K91" s="3" t="s">
        <v>186</v>
      </c>
      <c r="L91" s="3" t="s">
        <v>29</v>
      </c>
      <c r="M91" s="3"/>
      <c r="N91" s="5"/>
      <c r="O91" s="3"/>
      <c r="P91" s="3"/>
      <c r="Q91" s="4"/>
      <c r="R91" s="3"/>
      <c r="S91" s="3"/>
    </row>
  </sheetData>
  <autoFilter ref="A1:S91"/>
  <dataValidations count="9">
    <dataValidation allowBlank="true" errorStyle="stop" operator="between" showDropDown="false" showErrorMessage="false" showInputMessage="false" sqref="D2:D91" type="list">
      <formula1>"Structure,Strategy,Technique,Script,Research,Diagnostic,Setting"</formula1>
      <formula2>0</formula2>
    </dataValidation>
    <dataValidation allowBlank="true" errorStyle="stop" operator="between" showDropDown="false" showErrorMessage="false" showInputMessage="false" sqref="E2:E91" type="list">
      <formula1>"Search,Shopping,PMax,All"</formula1>
      <formula2>0</formula2>
    </dataValidation>
    <dataValidation allowBlank="true" errorStyle="stop" operator="between" showDropDown="false" showErrorMessage="false" showInputMessage="false" sqref="F2:F91" type="list">
      <formula1>"Setup,Scale,Optimise,Diagnose,Protect"</formula1>
      <formula2>0</formula2>
    </dataValidation>
    <dataValidation allowBlank="true" errorStyle="stop" operator="between" showDropDown="false" showErrorMessage="false" showInputMessage="false" sqref="G2:G91" type="list">
      <formula1>"New,Established,Any"</formula1>
      <formula2>0</formula2>
    </dataValidation>
    <dataValidation allowBlank="true" errorStyle="stop" operator="between" showDropDown="false" showErrorMessage="false" showInputMessage="false" sqref="H2:H91" type="list">
      <formula1>"One-off,Weekly,Monthly,As needed"</formula1>
      <formula2>0</formula2>
    </dataValidation>
    <dataValidation allowBlank="true" errorStyle="stop" operator="between" showDropDown="false" showErrorMessage="false" showInputMessage="false" sqref="I2:I91" type="list">
      <formula1>"P1,P2,P3"</formula1>
      <formula2>0</formula2>
    </dataValidation>
    <dataValidation allowBlank="true" errorStyle="stop" operator="between" showDropDown="false" showErrorMessage="false" showInputMessage="false" sqref="L2:L91" type="list">
      <formula1>"Not started,Drafting,Review,Done"</formula1>
      <formula2>0</formula2>
    </dataValidation>
    <dataValidation allowBlank="true" errorStyle="stop" operator="between" showDropDown="false" showErrorMessage="false" showInputMessage="false" sqref="R2:R91" type="list">
      <formula1>"Strong,Adequate,Thin"</formula1>
      <formula2>0</formula2>
    </dataValidation>
    <dataValidation allowBlank="true" errorStyle="stop" operator="between" showDropDown="false" showErrorMessage="false" showInputMessage="false" sqref="S2:S91" type="list">
      <formula1>"PASS,FAIL,NEEDS ELIAS"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8"/>
    <col collapsed="false" customWidth="true" hidden="false" outlineLevel="0" max="3" min="3" style="1" width="55"/>
  </cols>
  <sheetData>
    <row r="1" customFormat="false" ht="15" hidden="false" customHeight="true" outlineLevel="0" collapsed="false">
      <c r="A1" s="6" t="s">
        <v>250</v>
      </c>
      <c r="B1" s="6" t="s">
        <v>251</v>
      </c>
      <c r="C1" s="6" t="s">
        <v>252</v>
      </c>
    </row>
    <row r="2" customFormat="false" ht="15" hidden="false" customHeight="true" outlineLevel="0" collapsed="false">
      <c r="A2" s="7" t="s">
        <v>3</v>
      </c>
      <c r="B2" s="7" t="s">
        <v>21</v>
      </c>
      <c r="C2" s="7" t="s">
        <v>253</v>
      </c>
    </row>
    <row r="3" customFormat="false" ht="15" hidden="false" customHeight="true" outlineLevel="0" collapsed="false">
      <c r="A3" s="7" t="s">
        <v>3</v>
      </c>
      <c r="B3" s="7" t="s">
        <v>37</v>
      </c>
      <c r="C3" s="7" t="s">
        <v>254</v>
      </c>
    </row>
    <row r="4" customFormat="false" ht="15" hidden="false" customHeight="true" outlineLevel="0" collapsed="false">
      <c r="A4" s="7" t="s">
        <v>3</v>
      </c>
      <c r="B4" s="7" t="s">
        <v>61</v>
      </c>
      <c r="C4" s="7" t="s">
        <v>255</v>
      </c>
    </row>
    <row r="5" customFormat="false" ht="15" hidden="false" customHeight="true" outlineLevel="0" collapsed="false">
      <c r="A5" s="7" t="s">
        <v>3</v>
      </c>
      <c r="B5" s="7" t="s">
        <v>127</v>
      </c>
      <c r="C5" s="7" t="s">
        <v>256</v>
      </c>
    </row>
    <row r="6" customFormat="false" ht="15" hidden="false" customHeight="true" outlineLevel="0" collapsed="false">
      <c r="A6" s="7" t="s">
        <v>3</v>
      </c>
      <c r="B6" s="7" t="s">
        <v>77</v>
      </c>
      <c r="C6" s="7" t="s">
        <v>257</v>
      </c>
    </row>
    <row r="7" customFormat="false" ht="15" hidden="false" customHeight="true" outlineLevel="0" collapsed="false">
      <c r="A7" s="7" t="s">
        <v>3</v>
      </c>
      <c r="B7" s="7" t="s">
        <v>66</v>
      </c>
      <c r="C7" s="7" t="s">
        <v>258</v>
      </c>
    </row>
    <row r="8" customFormat="false" ht="15" hidden="false" customHeight="true" outlineLevel="0" collapsed="false">
      <c r="A8" s="7" t="s">
        <v>3</v>
      </c>
      <c r="B8" s="7" t="s">
        <v>81</v>
      </c>
      <c r="C8" s="7" t="s">
        <v>259</v>
      </c>
    </row>
    <row r="9" customFormat="false" ht="15" hidden="false" customHeight="true" outlineLevel="0" collapsed="false">
      <c r="A9" s="7" t="s">
        <v>4</v>
      </c>
      <c r="B9" s="7" t="s">
        <v>260</v>
      </c>
      <c r="C9" s="7" t="s">
        <v>261</v>
      </c>
    </row>
    <row r="10" customFormat="false" ht="15" hidden="false" customHeight="true" outlineLevel="0" collapsed="false">
      <c r="A10" s="7" t="s">
        <v>5</v>
      </c>
      <c r="B10" s="7" t="s">
        <v>31</v>
      </c>
      <c r="C10" s="7" t="s">
        <v>262</v>
      </c>
    </row>
    <row r="11" customFormat="false" ht="15" hidden="false" customHeight="true" outlineLevel="0" collapsed="false">
      <c r="A11" s="7" t="s">
        <v>5</v>
      </c>
      <c r="B11" s="7" t="s">
        <v>23</v>
      </c>
      <c r="C11" s="7" t="s">
        <v>263</v>
      </c>
    </row>
    <row r="12" customFormat="false" ht="15" hidden="false" customHeight="true" outlineLevel="0" collapsed="false">
      <c r="A12" s="7" t="s">
        <v>5</v>
      </c>
      <c r="B12" s="7" t="s">
        <v>53</v>
      </c>
      <c r="C12" s="7" t="s">
        <v>264</v>
      </c>
    </row>
    <row r="13" customFormat="false" ht="15" hidden="false" customHeight="true" outlineLevel="0" collapsed="false">
      <c r="A13" s="7" t="s">
        <v>5</v>
      </c>
      <c r="B13" s="7" t="s">
        <v>56</v>
      </c>
      <c r="C13" s="7" t="s">
        <v>265</v>
      </c>
    </row>
    <row r="14" customFormat="false" ht="15" hidden="false" customHeight="true" outlineLevel="0" collapsed="false">
      <c r="A14" s="7" t="s">
        <v>5</v>
      </c>
      <c r="B14" s="7" t="s">
        <v>146</v>
      </c>
      <c r="C14" s="7" t="s">
        <v>266</v>
      </c>
    </row>
    <row r="15" customFormat="false" ht="15" hidden="false" customHeight="true" outlineLevel="0" collapsed="false">
      <c r="A15" s="7" t="s">
        <v>6</v>
      </c>
      <c r="B15" s="7" t="s">
        <v>57</v>
      </c>
      <c r="C15" s="7" t="s">
        <v>267</v>
      </c>
    </row>
    <row r="16" customFormat="false" ht="15" hidden="false" customHeight="true" outlineLevel="0" collapsed="false">
      <c r="A16" s="7" t="s">
        <v>6</v>
      </c>
      <c r="B16" s="7" t="s">
        <v>24</v>
      </c>
      <c r="C16" s="7" t="s">
        <v>268</v>
      </c>
    </row>
    <row r="17" customFormat="false" ht="15" hidden="false" customHeight="true" outlineLevel="0" collapsed="false">
      <c r="A17" s="7" t="s">
        <v>6</v>
      </c>
      <c r="B17" s="7" t="s">
        <v>32</v>
      </c>
      <c r="C17" s="7" t="s">
        <v>269</v>
      </c>
    </row>
    <row r="18" customFormat="false" ht="15" hidden="false" customHeight="true" outlineLevel="0" collapsed="false">
      <c r="A18" s="7" t="s">
        <v>7</v>
      </c>
      <c r="B18" s="7" t="s">
        <v>270</v>
      </c>
      <c r="C18" s="7" t="s">
        <v>271</v>
      </c>
    </row>
    <row r="19" customFormat="false" ht="15" hidden="false" customHeight="true" outlineLevel="0" collapsed="false">
      <c r="A19" s="7" t="s">
        <v>8</v>
      </c>
      <c r="B19" s="7" t="s">
        <v>272</v>
      </c>
      <c r="C19" s="7" t="s">
        <v>273</v>
      </c>
    </row>
    <row r="20" customFormat="false" ht="15" hidden="false" customHeight="true" outlineLevel="0" collapsed="false">
      <c r="A20" s="7" t="s">
        <v>11</v>
      </c>
      <c r="B20" s="7" t="s">
        <v>274</v>
      </c>
      <c r="C20" s="7" t="s">
        <v>275</v>
      </c>
    </row>
    <row r="21" customFormat="false" ht="15" hidden="false" customHeight="true" outlineLevel="0" collapsed="false">
      <c r="A21" s="7" t="s">
        <v>13</v>
      </c>
      <c r="B21" s="7" t="s">
        <v>276</v>
      </c>
      <c r="C21" s="7" t="s">
        <v>277</v>
      </c>
    </row>
    <row r="22" customFormat="false" ht="15" hidden="false" customHeight="false" outlineLevel="0" collapsed="false">
      <c r="A22" s="8" t="s">
        <v>15</v>
      </c>
      <c r="B22" s="8" t="s">
        <v>278</v>
      </c>
      <c r="C22" s="8" t="s">
        <v>279</v>
      </c>
    </row>
    <row r="23" customFormat="false" ht="15" hidden="false" customHeight="false" outlineLevel="0" collapsed="false">
      <c r="A23" s="8" t="s">
        <v>16</v>
      </c>
      <c r="B23" s="8" t="s">
        <v>280</v>
      </c>
      <c r="C23" s="8" t="s">
        <v>281</v>
      </c>
    </row>
    <row r="24" customFormat="false" ht="15" hidden="false" customHeight="false" outlineLevel="0" collapsed="false">
      <c r="A24" s="8" t="s">
        <v>17</v>
      </c>
      <c r="B24" s="8" t="s">
        <v>282</v>
      </c>
      <c r="C24" s="8" t="s">
        <v>283</v>
      </c>
    </row>
    <row r="25" customFormat="false" ht="15" hidden="false" customHeight="false" outlineLevel="0" collapsed="false">
      <c r="A25" s="8" t="s">
        <v>18</v>
      </c>
      <c r="B25" s="8" t="s">
        <v>284</v>
      </c>
      <c r="C25" s="8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5" min="5" style="1" width="12"/>
    <col collapsed="false" customWidth="true" hidden="false" outlineLevel="0" max="8" min="8" style="1" width="12"/>
  </cols>
  <sheetData>
    <row r="1" customFormat="false" ht="15" hidden="false" customHeight="true" outlineLevel="0" collapsed="false">
      <c r="A1" s="9" t="s">
        <v>2</v>
      </c>
      <c r="B1" s="9" t="s">
        <v>286</v>
      </c>
      <c r="C1" s="9" t="s">
        <v>287</v>
      </c>
      <c r="D1" s="10"/>
      <c r="E1" s="9" t="s">
        <v>8</v>
      </c>
      <c r="F1" s="9" t="s">
        <v>286</v>
      </c>
      <c r="G1" s="10"/>
      <c r="H1" s="9" t="s">
        <v>5</v>
      </c>
      <c r="I1" s="9" t="s">
        <v>286</v>
      </c>
    </row>
    <row r="2" customFormat="false" ht="15" hidden="false" customHeight="true" outlineLevel="0" collapsed="false">
      <c r="A2" s="10" t="s">
        <v>20</v>
      </c>
      <c r="B2" s="10" t="n">
        <f aca="false">COUNTIF(Skills!$C$2:$C$91,A2)</f>
        <v>9</v>
      </c>
      <c r="C2" s="10" t="n">
        <f aca="false">COUNTIFS(Skills!$C$2:$C$91,A2,Skills!$L$2:$L$91,"Done")</f>
        <v>0</v>
      </c>
      <c r="D2" s="10"/>
      <c r="E2" s="10" t="s">
        <v>33</v>
      </c>
      <c r="F2" s="10" t="n">
        <f aca="false">COUNTIF(Skills!$I$2:$I$91,E2)</f>
        <v>29</v>
      </c>
      <c r="G2" s="10"/>
      <c r="H2" s="10" t="s">
        <v>31</v>
      </c>
      <c r="I2" s="10" t="n">
        <f aca="false">COUNTIF(Skills!$F$2:$F$91,H2)</f>
        <v>32</v>
      </c>
    </row>
    <row r="3" customFormat="false" ht="15" hidden="false" customHeight="true" outlineLevel="0" collapsed="false">
      <c r="A3" s="10" t="s">
        <v>60</v>
      </c>
      <c r="B3" s="10" t="n">
        <f aca="false">COUNTIF(Skills!$C$2:$C$91,A3)</f>
        <v>12</v>
      </c>
      <c r="C3" s="10" t="n">
        <f aca="false">COUNTIFS(Skills!$C$2:$C$91,A3,Skills!$L$2:$L$91,"Done")</f>
        <v>0</v>
      </c>
      <c r="D3" s="10"/>
      <c r="E3" s="10" t="s">
        <v>26</v>
      </c>
      <c r="F3" s="10" t="n">
        <f aca="false">COUNTIF(Skills!$I$2:$I$91,E3)</f>
        <v>44</v>
      </c>
      <c r="G3" s="10"/>
      <c r="H3" s="10" t="s">
        <v>23</v>
      </c>
      <c r="I3" s="10" t="n">
        <f aca="false">COUNTIF(Skills!$F$2:$F$91,H3)</f>
        <v>10</v>
      </c>
    </row>
    <row r="4" customFormat="false" ht="15" hidden="false" customHeight="true" outlineLevel="0" collapsed="false">
      <c r="A4" s="10" t="s">
        <v>93</v>
      </c>
      <c r="B4" s="10" t="n">
        <f aca="false">COUNTIF(Skills!$C$2:$C$91,A4)</f>
        <v>12</v>
      </c>
      <c r="C4" s="10" t="n">
        <f aca="false">COUNTIFS(Skills!$C$2:$C$91,A4,Skills!$L$2:$L$91,"Done")</f>
        <v>0</v>
      </c>
      <c r="D4" s="10"/>
      <c r="E4" s="10" t="s">
        <v>50</v>
      </c>
      <c r="F4" s="10" t="n">
        <f aca="false">COUNTIF(Skills!$I$2:$I$91,E4)</f>
        <v>17</v>
      </c>
      <c r="G4" s="10"/>
      <c r="H4" s="10" t="s">
        <v>53</v>
      </c>
      <c r="I4" s="10" t="n">
        <f aca="false">COUNTIF(Skills!$F$2:$F$91,H4)</f>
        <v>28</v>
      </c>
    </row>
    <row r="5" customFormat="false" ht="15" hidden="false" customHeight="true" outlineLevel="0" collapsed="false">
      <c r="A5" s="10" t="s">
        <v>120</v>
      </c>
      <c r="B5" s="10" t="n">
        <f aca="false">COUNTIF(Skills!$C$2:$C$91,A5)</f>
        <v>6</v>
      </c>
      <c r="C5" s="10" t="n">
        <f aca="false">COUNTIFS(Skills!$C$2:$C$91,A5,Skills!$L$2:$L$91,"Done")</f>
        <v>0</v>
      </c>
      <c r="D5" s="10"/>
      <c r="E5" s="10"/>
      <c r="F5" s="10"/>
      <c r="G5" s="10"/>
      <c r="H5" s="10" t="s">
        <v>56</v>
      </c>
      <c r="I5" s="10" t="n">
        <f aca="false">COUNTIF(Skills!$F$2:$F$91,H5)</f>
        <v>16</v>
      </c>
    </row>
    <row r="6" customFormat="false" ht="15" hidden="false" customHeight="true" outlineLevel="0" collapsed="false">
      <c r="A6" s="10" t="s">
        <v>135</v>
      </c>
      <c r="B6" s="10" t="n">
        <f aca="false">COUNTIF(Skills!$C$2:$C$91,A6)</f>
        <v>10</v>
      </c>
      <c r="C6" s="10" t="n">
        <f aca="false">COUNTIFS(Skills!$C$2:$C$91,A6,Skills!$L$2:$L$91,"Done")</f>
        <v>0</v>
      </c>
      <c r="D6" s="10"/>
      <c r="E6" s="10"/>
      <c r="F6" s="10"/>
      <c r="G6" s="10"/>
      <c r="H6" s="10" t="s">
        <v>146</v>
      </c>
      <c r="I6" s="10" t="n">
        <f aca="false">COUNTIF(Skills!$F$2:$F$91,H6)</f>
        <v>4</v>
      </c>
    </row>
    <row r="7" customFormat="false" ht="15" hidden="false" customHeight="true" outlineLevel="0" collapsed="false">
      <c r="A7" s="10" t="s">
        <v>157</v>
      </c>
      <c r="B7" s="10" t="n">
        <f aca="false">COUNTIF(Skills!$C$2:$C$91,A7)</f>
        <v>5</v>
      </c>
      <c r="C7" s="10" t="n">
        <f aca="false">COUNTIFS(Skills!$C$2:$C$91,A7,Skills!$L$2:$L$91,"Done")</f>
        <v>0</v>
      </c>
      <c r="D7" s="10"/>
      <c r="E7" s="10"/>
      <c r="F7" s="10"/>
      <c r="G7" s="10"/>
      <c r="H7" s="10"/>
      <c r="I7" s="10"/>
    </row>
    <row r="8" customFormat="false" ht="15" hidden="false" customHeight="true" outlineLevel="0" collapsed="false">
      <c r="A8" s="10" t="s">
        <v>168</v>
      </c>
      <c r="B8" s="10" t="n">
        <f aca="false">COUNTIF(Skills!$C$2:$C$91,A8)</f>
        <v>9</v>
      </c>
      <c r="C8" s="10" t="n">
        <f aca="false">COUNTIFS(Skills!$C$2:$C$91,A8,Skills!$L$2:$L$91,"Done")</f>
        <v>0</v>
      </c>
      <c r="D8" s="10"/>
      <c r="E8" s="10"/>
      <c r="F8" s="10"/>
      <c r="G8" s="10"/>
      <c r="H8" s="10"/>
      <c r="I8" s="10"/>
    </row>
    <row r="9" customFormat="false" ht="15" hidden="false" customHeight="true" outlineLevel="0" collapsed="false">
      <c r="A9" s="10" t="s">
        <v>190</v>
      </c>
      <c r="B9" s="10" t="n">
        <f aca="false">COUNTIF(Skills!$C$2:$C$91,A9)</f>
        <v>5</v>
      </c>
      <c r="C9" s="10" t="n">
        <f aca="false">COUNTIFS(Skills!$C$2:$C$91,A9,Skills!$L$2:$L$91,"Done")</f>
        <v>0</v>
      </c>
      <c r="D9" s="10"/>
      <c r="E9" s="10"/>
      <c r="F9" s="10"/>
      <c r="G9" s="10"/>
      <c r="H9" s="10"/>
      <c r="I9" s="10"/>
    </row>
    <row r="10" customFormat="false" ht="15" hidden="false" customHeight="true" outlineLevel="0" collapsed="false">
      <c r="A10" s="10" t="s">
        <v>203</v>
      </c>
      <c r="B10" s="10" t="n">
        <f aca="false">COUNTIF(Skills!$C$2:$C$91,A10)</f>
        <v>10</v>
      </c>
      <c r="C10" s="10" t="n">
        <f aca="false">COUNTIFS(Skills!$C$2:$C$91,A10,Skills!$L$2:$L$91,"Done")</f>
        <v>0</v>
      </c>
      <c r="D10" s="10"/>
      <c r="E10" s="10"/>
      <c r="F10" s="10"/>
      <c r="G10" s="10"/>
      <c r="H10" s="10"/>
      <c r="I10" s="10"/>
    </row>
    <row r="11" customFormat="false" ht="15" hidden="false" customHeight="true" outlineLevel="0" collapsed="false">
      <c r="A11" s="10" t="s">
        <v>226</v>
      </c>
      <c r="B11" s="10" t="n">
        <f aca="false">COUNTIF(Skills!$C$2:$C$91,A11)</f>
        <v>8</v>
      </c>
      <c r="C11" s="10" t="n">
        <f aca="false">COUNTIFS(Skills!$C$2:$C$91,A11,Skills!$L$2:$L$91,"Done")</f>
        <v>0</v>
      </c>
      <c r="D11" s="10"/>
      <c r="E11" s="10"/>
      <c r="F11" s="10"/>
      <c r="G11" s="10"/>
      <c r="H11" s="10"/>
      <c r="I11" s="10"/>
    </row>
    <row r="12" customFormat="false" ht="15" hidden="false" customHeight="true" outlineLevel="0" collapsed="false">
      <c r="A12" s="10" t="s">
        <v>243</v>
      </c>
      <c r="B12" s="10" t="n">
        <f aca="false">COUNTIF(Skills!$C$2:$C$91,A12)</f>
        <v>4</v>
      </c>
      <c r="C12" s="10" t="n">
        <f aca="false">COUNTIFS(Skills!$C$2:$C$91,A12,Skills!$L$2:$L$91,"Done")</f>
        <v>0</v>
      </c>
      <c r="D12" s="10"/>
      <c r="E12" s="10"/>
      <c r="F12" s="10"/>
      <c r="G12" s="10"/>
      <c r="H12" s="10"/>
      <c r="I12" s="10"/>
    </row>
    <row r="13" customFormat="false" ht="15" hidden="false" customHeight="true" outlineLevel="0" collapsed="false">
      <c r="A13" s="11" t="s">
        <v>288</v>
      </c>
      <c r="B13" s="10" t="n">
        <f aca="false">SUM(B2:B12)</f>
        <v>90</v>
      </c>
      <c r="C13" s="10" t="n">
        <f aca="false">SUM(C2:C12)</f>
        <v>0</v>
      </c>
      <c r="D13" s="10"/>
      <c r="E13" s="10"/>
      <c r="F13" s="10"/>
      <c r="G13" s="10"/>
      <c r="H13" s="10"/>
      <c r="I1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2026-10-13T19:56:12Z</dcterms:created>
  <dc:creator>openpyxl</dc:creator>
  <dc:description/>
  <dc:language>en-US</dc:language>
  <cp:lastModifiedBy/>
  <dcterms:modified xsi:type="dcterms:W3CDTF">2026-10-13T20:09:30Z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